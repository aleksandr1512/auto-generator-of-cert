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edagog\Documents\ГенераторСертификатовPDF\"/>
    </mc:Choice>
  </mc:AlternateContent>
  <bookViews>
    <workbookView xWindow="0" yWindow="0" windowWidth="9000" windowHeight="5655"/>
  </bookViews>
  <sheets>
    <sheet name="сертификаты" sheetId="6" r:id="rId1"/>
    <sheet name="для публикации" sheetId="3" r:id="rId2"/>
    <sheet name="Лист2" sheetId="5" r:id="rId3"/>
    <sheet name="протокол" sheetId="1" r:id="rId4"/>
    <sheet name="Дипломы" sheetId="2" r:id="rId5"/>
  </sheets>
  <definedNames>
    <definedName name="_xlnm._FilterDatabase" localSheetId="1" hidden="1">'для публикации'!$A$1:$H$64</definedName>
    <definedName name="_xlnm._FilterDatabase" localSheetId="3" hidden="1">протокол!$B$1:$K$64</definedName>
    <definedName name="_xlnm._FilterDatabase" localSheetId="0" hidden="1">сертификаты!$A$1:$I$51</definedName>
  </definedName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6" i="6" l="1"/>
  <c r="I95" i="6"/>
  <c r="I79" i="6"/>
  <c r="I77" i="6"/>
  <c r="I60" i="6"/>
  <c r="I59" i="6"/>
  <c r="I57" i="6"/>
  <c r="I52" i="6"/>
  <c r="I49" i="6"/>
  <c r="I43" i="6"/>
  <c r="I40" i="6"/>
  <c r="I36" i="6"/>
  <c r="I15" i="6"/>
  <c r="I10" i="6"/>
  <c r="I7" i="6"/>
  <c r="I93" i="6"/>
  <c r="I65" i="6"/>
  <c r="I28" i="6"/>
  <c r="I27" i="6"/>
  <c r="I90" i="6"/>
  <c r="I71" i="6"/>
  <c r="I32" i="6"/>
  <c r="I13" i="6"/>
  <c r="I18" i="6"/>
  <c r="I69" i="6"/>
  <c r="I88" i="6"/>
  <c r="I66" i="6"/>
  <c r="I97" i="6"/>
  <c r="I54" i="6"/>
  <c r="I19" i="6"/>
  <c r="I86" i="6"/>
  <c r="I80" i="6"/>
  <c r="I46" i="6"/>
  <c r="I67" i="6"/>
  <c r="I29" i="6"/>
  <c r="I23" i="6"/>
  <c r="I64" i="6"/>
  <c r="I73" i="6"/>
  <c r="I48" i="6"/>
  <c r="I9" i="6"/>
  <c r="I58" i="6"/>
  <c r="I35" i="6"/>
  <c r="I51" i="6"/>
  <c r="I61" i="6"/>
  <c r="I2" i="6"/>
  <c r="I78" i="6"/>
  <c r="I70" i="6"/>
  <c r="I39" i="6"/>
  <c r="I30" i="6"/>
  <c r="I50" i="6"/>
  <c r="I16" i="6"/>
  <c r="H64" i="3" l="1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K3" i="1" l="1"/>
  <c r="K50" i="1"/>
  <c r="K4" i="1"/>
  <c r="K24" i="1"/>
  <c r="K51" i="1"/>
  <c r="K5" i="1"/>
  <c r="K42" i="1"/>
  <c r="K52" i="1"/>
  <c r="K13" i="1"/>
  <c r="K2" i="1"/>
  <c r="K41" i="1"/>
  <c r="K34" i="1"/>
  <c r="K8" i="1"/>
  <c r="K46" i="1"/>
  <c r="K47" i="1"/>
  <c r="K29" i="1"/>
  <c r="K15" i="1"/>
  <c r="K43" i="1"/>
  <c r="K22" i="1"/>
  <c r="K53" i="1"/>
  <c r="K16" i="1"/>
  <c r="K54" i="1"/>
  <c r="K55" i="1"/>
  <c r="K31" i="1"/>
  <c r="K11" i="1"/>
  <c r="K25" i="1"/>
  <c r="K56" i="1"/>
  <c r="K14" i="1"/>
  <c r="K21" i="1"/>
  <c r="K57" i="1"/>
  <c r="K35" i="1"/>
  <c r="K58" i="1"/>
  <c r="K23" i="1"/>
  <c r="K59" i="1"/>
  <c r="K60" i="1"/>
  <c r="K20" i="1"/>
  <c r="K6" i="1"/>
  <c r="K27" i="1"/>
  <c r="K48" i="1"/>
  <c r="K37" i="1"/>
  <c r="K30" i="1"/>
  <c r="K10" i="1"/>
  <c r="K40" i="1"/>
  <c r="K17" i="1"/>
  <c r="K44" i="1"/>
  <c r="K26" i="1"/>
  <c r="K61" i="1"/>
  <c r="K18" i="1"/>
  <c r="K62" i="1"/>
  <c r="K32" i="1"/>
  <c r="K12" i="1"/>
  <c r="K7" i="1"/>
  <c r="K33" i="1"/>
  <c r="K38" i="1"/>
  <c r="K49" i="1"/>
  <c r="K63" i="1"/>
  <c r="K9" i="1"/>
  <c r="K64" i="1"/>
  <c r="K36" i="1"/>
  <c r="K28" i="1"/>
  <c r="K45" i="1"/>
  <c r="K39" i="1"/>
  <c r="K19" i="1"/>
</calcChain>
</file>

<file path=xl/sharedStrings.xml><?xml version="1.0" encoding="utf-8"?>
<sst xmlns="http://schemas.openxmlformats.org/spreadsheetml/2006/main" count="1148" uniqueCount="322">
  <si>
    <t>Название образовательного учреждения (кратко)</t>
  </si>
  <si>
    <t>СП ЦДО "Гармония" ГБОУ СОШ №4 п.г.т.Алексеевка</t>
  </si>
  <si>
    <t>СП ЦДО "Гармония"ГБОУ СОШ №4</t>
  </si>
  <si>
    <t>ГБОУ СОШ с. Среднее Аверкино</t>
  </si>
  <si>
    <t>СП ЦВР ГБОУ СОШ 9 г.о Октябрьск</t>
  </si>
  <si>
    <t>СП ЦВР ГБОУ СОШ 9 г.о. Октябрьск</t>
  </si>
  <si>
    <t>ГБОУ СОШ ОЦ пгт. Рощинский</t>
  </si>
  <si>
    <t>МБОУ Школа № 149</t>
  </si>
  <si>
    <t>ГБОУ школа-интернат №17 г.о.Самара</t>
  </si>
  <si>
    <t>ГБОУ СОШ ,,ОЦ"п.г.т.Рощинский</t>
  </si>
  <si>
    <t>ОДОД "ЕЦДОД" ГБОУ СОШ им.М.Н.Заводского с. Елховка</t>
  </si>
  <si>
    <t>СамЛИТ Базовая школа РАН</t>
  </si>
  <si>
    <t>МБУ школа N°18</t>
  </si>
  <si>
    <t>ГАОУ СО "СамЛИТ (Базовая школа РАН)"</t>
  </si>
  <si>
    <t>ГАОУ СО "СамЛИТ"</t>
  </si>
  <si>
    <t>СП "ЦВР" ГБОУ СОШ № 17 г. Сызрани</t>
  </si>
  <si>
    <t>МБУ " Школа № 81"</t>
  </si>
  <si>
    <t>МБУ Лицей 51</t>
  </si>
  <si>
    <t>ГБОУ СОШ им. М.К.Овсянникова с. Исаклы</t>
  </si>
  <si>
    <t>ГАОУ СО «СамЛИТ (Базовая школа РАН)»</t>
  </si>
  <si>
    <t>ГБОУ СОШ с.Новодевичье</t>
  </si>
  <si>
    <t>СП детский мини-технопарк "Технополис 21.0" ГБОУ ООШ №21 г.о. Чапаевск</t>
  </si>
  <si>
    <t>МБУ "Лицей №51"</t>
  </si>
  <si>
    <t>Лицей 51</t>
  </si>
  <si>
    <t>МБУ " Школа  № 81"</t>
  </si>
  <si>
    <t>ГБОУ СОШ им. В.С.Чекмасова с. Большое Микушкино</t>
  </si>
  <si>
    <t>Дом детского творчества "Гармония" с. Борское</t>
  </si>
  <si>
    <t xml:space="preserve">ГБОУ СОШ с.Старый Маклауш </t>
  </si>
  <si>
    <t>МБУ школа "Образовательный центр "Галактика"</t>
  </si>
  <si>
    <t>ГБОУ СОШ №2 с. Обшаровка</t>
  </si>
  <si>
    <t xml:space="preserve">ГБОУ СОШ №6  </t>
  </si>
  <si>
    <t>Пестравский филиал ГБОУ СОШ с Майское ДДТ с Пестравка</t>
  </si>
  <si>
    <t>ГБОУ СОШ с.Красноармейское</t>
  </si>
  <si>
    <t>ЦДОД "Развитие" с. Алексеевка</t>
  </si>
  <si>
    <t>Школа 168</t>
  </si>
  <si>
    <t>ГБОУ СОШ 12 г Сызрани</t>
  </si>
  <si>
    <t>МБУ "Школа №73"</t>
  </si>
  <si>
    <t>МБУ "Лицей № 76"</t>
  </si>
  <si>
    <t>ГБОУ СОШ №2 "ОЦ" с. Борское</t>
  </si>
  <si>
    <t>ГБОУ СОШ п.г.т. Мирный</t>
  </si>
  <si>
    <t>СП ЦВР ГБОУ СОШ Шигоны</t>
  </si>
  <si>
    <t>Сп ГБОУ СОШ 6 г.о. Отрадный ЦДОД и сетевое взаимодействие ГБОУ ООШ 2</t>
  </si>
  <si>
    <t>ГБОУ СОШ "Образовательный центр" им. Е.М. Зеленова п.г.т. Новосемейкино</t>
  </si>
  <si>
    <t>СП ГБОУ СОШ №6 г.о.Отрадный ЦДОД сетевое взаимодействие ГБОУ ООШ №2 г.о.Отрадный</t>
  </si>
  <si>
    <t xml:space="preserve">СП ГБОУ СОШ №6 г.о.Отрадный ЦДОД </t>
  </si>
  <si>
    <t>Фамилия, имя участника 1</t>
  </si>
  <si>
    <t>Куркин Кирилл</t>
  </si>
  <si>
    <t>Нечушкина Василиса</t>
  </si>
  <si>
    <t>Павлов Павел Павлович</t>
  </si>
  <si>
    <t>Акимов Иван Сергеевич</t>
  </si>
  <si>
    <t>Сергеева Снежана Николаевна</t>
  </si>
  <si>
    <t>Ахмедова Ксения Тимуровна</t>
  </si>
  <si>
    <t xml:space="preserve">Новикова Елена Владимировна </t>
  </si>
  <si>
    <t>Степанова Полина Ильинична</t>
  </si>
  <si>
    <t xml:space="preserve">Балягин Владислав </t>
  </si>
  <si>
    <t>Коба Вадим Павлович</t>
  </si>
  <si>
    <t xml:space="preserve">Чуманкин  Максим </t>
  </si>
  <si>
    <t>Ломоносов Арсений</t>
  </si>
  <si>
    <t>Романов Сергей</t>
  </si>
  <si>
    <t>Гвоздев Артемий Андреевич</t>
  </si>
  <si>
    <t>Шикилев андрей</t>
  </si>
  <si>
    <t>Кочетова Мария</t>
  </si>
  <si>
    <t>Астахов Роман Артемович</t>
  </si>
  <si>
    <t>Фокин Мартин Максимович</t>
  </si>
  <si>
    <t>Власова Ульяна Даниловна</t>
  </si>
  <si>
    <t xml:space="preserve">Мушкарева Мария </t>
  </si>
  <si>
    <t>Костин Михаил</t>
  </si>
  <si>
    <t>Иванов Иван</t>
  </si>
  <si>
    <t>Стефанюк Кирилл Сергеевич</t>
  </si>
  <si>
    <t>Погодин Александр Алексеевич</t>
  </si>
  <si>
    <t xml:space="preserve">Балашов Александр Евгеньевич </t>
  </si>
  <si>
    <t>Лоськова Лариса</t>
  </si>
  <si>
    <t>Шкирев Иван Михайлович</t>
  </si>
  <si>
    <t>Головина Ирина  Владимировна</t>
  </si>
  <si>
    <t xml:space="preserve">Малов Георгий </t>
  </si>
  <si>
    <t>Искорнева Ульяна Андреевна</t>
  </si>
  <si>
    <t>Зайцева Елизавета Павловна</t>
  </si>
  <si>
    <t xml:space="preserve">Зиганшина Милена Ранисовна </t>
  </si>
  <si>
    <t>Сазонов Евгений</t>
  </si>
  <si>
    <t>Гольцов Владимир</t>
  </si>
  <si>
    <t>Фукс Валентина Гавриловна</t>
  </si>
  <si>
    <t>Корнеева Ксения Геннадьевна</t>
  </si>
  <si>
    <t>Тюрин Денис</t>
  </si>
  <si>
    <t>Кутин Михаил</t>
  </si>
  <si>
    <t>Блохин Константин</t>
  </si>
  <si>
    <t>Тагачин Харитон Сергеевич</t>
  </si>
  <si>
    <t>Паренская Анна</t>
  </si>
  <si>
    <t>Ткаченко Артём</t>
  </si>
  <si>
    <t>Сугатов Никита</t>
  </si>
  <si>
    <t xml:space="preserve">Афанасьева Александра </t>
  </si>
  <si>
    <t>Осипов Кирилл</t>
  </si>
  <si>
    <t xml:space="preserve">Коноплёв Илья </t>
  </si>
  <si>
    <t>Гайсин Артём</t>
  </si>
  <si>
    <t>Мишурин Макар Кириллович</t>
  </si>
  <si>
    <t>Сафин Булат</t>
  </si>
  <si>
    <t xml:space="preserve">Шиханов Максим Сергеевич </t>
  </si>
  <si>
    <t>Синицына Ксения</t>
  </si>
  <si>
    <t>Лищук Семен</t>
  </si>
  <si>
    <t>Енин Арсений</t>
  </si>
  <si>
    <t>Киселёв Игнат</t>
  </si>
  <si>
    <t>Шишова Ксения Максимовна</t>
  </si>
  <si>
    <t>Жуков Роман Дмитриевич</t>
  </si>
  <si>
    <t>Погодин Никита Иванович</t>
  </si>
  <si>
    <t>Фамилия, имя участника 2</t>
  </si>
  <si>
    <t xml:space="preserve">Жуков Никита Александрович </t>
  </si>
  <si>
    <t>Бородакова Алиса</t>
  </si>
  <si>
    <t>Спадеров Антон Евгеньевич</t>
  </si>
  <si>
    <t>Алашеева Виктория Владиславовна</t>
  </si>
  <si>
    <t>Харченко Дарья Евгеньевна</t>
  </si>
  <si>
    <t>Тычинина Мила Романовна</t>
  </si>
  <si>
    <t>Ахмолкин Александр</t>
  </si>
  <si>
    <t>Петров Никита</t>
  </si>
  <si>
    <t>Кирьянов Камиль</t>
  </si>
  <si>
    <t>Смыкалова Дарья</t>
  </si>
  <si>
    <t xml:space="preserve">Кирпичёв Николай </t>
  </si>
  <si>
    <t>Справчиков Андрей</t>
  </si>
  <si>
    <t>Титов Егор Иванович</t>
  </si>
  <si>
    <t>Александра Шикилева</t>
  </si>
  <si>
    <t>-</t>
  </si>
  <si>
    <t>Иркин Семён Евгеньевич</t>
  </si>
  <si>
    <t>Ананьев Алексей Георгиевич</t>
  </si>
  <si>
    <t>Фадина Анастасия Сергеевна</t>
  </si>
  <si>
    <t>туракулов жавлонбек</t>
  </si>
  <si>
    <t>Костина Мария</t>
  </si>
  <si>
    <t>Моисеев Михаил</t>
  </si>
  <si>
    <t>Гришин Тимур Вячеславович</t>
  </si>
  <si>
    <t>Борисенко Федор Сергеевич</t>
  </si>
  <si>
    <t xml:space="preserve">Добин Ярослав Алексеевич </t>
  </si>
  <si>
    <t>Кочергина Кира</t>
  </si>
  <si>
    <t>0</t>
  </si>
  <si>
    <t>Скидан Кира Феликсовна</t>
  </si>
  <si>
    <t>Игнатьев Илья</t>
  </si>
  <si>
    <t>Ермакова Александра Александровна</t>
  </si>
  <si>
    <t>Фролова Алиса Михайловна</t>
  </si>
  <si>
    <t>Андреева Арина Олеговна</t>
  </si>
  <si>
    <t>Черных Степан</t>
  </si>
  <si>
    <t>Коростелев Никита</t>
  </si>
  <si>
    <t>Мордовская Татьяна Владиславовна</t>
  </si>
  <si>
    <t>Колодин Максим Денисович</t>
  </si>
  <si>
    <t>Тюрин Владимир</t>
  </si>
  <si>
    <t>Хабибянов Антон</t>
  </si>
  <si>
    <t>Тренгулов Амир</t>
  </si>
  <si>
    <t xml:space="preserve">Емельянов Алексей Николаевич </t>
  </si>
  <si>
    <t>Горюшкин Михаил Дмитриевич</t>
  </si>
  <si>
    <t>Феоктистова Анастасия</t>
  </si>
  <si>
    <t>Пеньков Сергей</t>
  </si>
  <si>
    <t>Митин Марк Максимович</t>
  </si>
  <si>
    <t>Корнилов Дмитрий</t>
  </si>
  <si>
    <t>Тизилов Матвей</t>
  </si>
  <si>
    <t>Гаранин Глеб</t>
  </si>
  <si>
    <t xml:space="preserve">Осипов Кирилл </t>
  </si>
  <si>
    <t>Купцов Григорий</t>
  </si>
  <si>
    <t>Шубенкин Дмитрий Святославович</t>
  </si>
  <si>
    <t>Холунов Николай</t>
  </si>
  <si>
    <t xml:space="preserve">Смелов Савелий Витальевич </t>
  </si>
  <si>
    <t>Пикунов Дмитрий</t>
  </si>
  <si>
    <t xml:space="preserve">Козырев Яромир </t>
  </si>
  <si>
    <t>Енин Леонид</t>
  </si>
  <si>
    <t>Рысьянова Милана</t>
  </si>
  <si>
    <t xml:space="preserve">Тихонова Ангелина Алексеевна </t>
  </si>
  <si>
    <t>Снеговой Артём Андреевич</t>
  </si>
  <si>
    <t>Погодин Данила Иванович</t>
  </si>
  <si>
    <t>Фамилия, имя отчество наставника</t>
  </si>
  <si>
    <t>Адрес электронной почты наставника</t>
  </si>
  <si>
    <t>Телефон наставника</t>
  </si>
  <si>
    <t>Кузнецова Надежда Александровна</t>
  </si>
  <si>
    <t>garmony-center@mail.ru</t>
  </si>
  <si>
    <t>89370619174</t>
  </si>
  <si>
    <t>89297077042</t>
  </si>
  <si>
    <t>Кириченко Елена Сергеевна</t>
  </si>
  <si>
    <t>elenakir.25@mail.ru</t>
  </si>
  <si>
    <t>89608198476</t>
  </si>
  <si>
    <t>Щенева Юлия Валерьевна</t>
  </si>
  <si>
    <t>shheneva86@mail.ru</t>
  </si>
  <si>
    <t>79371882561</t>
  </si>
  <si>
    <t>Голенкова Татьяна Владимировна</t>
  </si>
  <si>
    <t>tg85@rambler.ru</t>
  </si>
  <si>
    <t>89063388151</t>
  </si>
  <si>
    <t xml:space="preserve">Беляева Ольга Юрьевна </t>
  </si>
  <si>
    <t>otu_87@list.ru</t>
  </si>
  <si>
    <t>89879818172</t>
  </si>
  <si>
    <t>Хабибулина Юлия Владимировна</t>
  </si>
  <si>
    <t>khabibulina-yuliya@mail.ru</t>
  </si>
  <si>
    <t>89608161597</t>
  </si>
  <si>
    <t>Пономарев Павел Анатольевич</t>
  </si>
  <si>
    <t>pasha231@rambler.ru</t>
  </si>
  <si>
    <t>89279095048</t>
  </si>
  <si>
    <t>+7 987 981 8172</t>
  </si>
  <si>
    <t>Подосян Эдита Артушовна</t>
  </si>
  <si>
    <t>ododelhovka@mail.ru</t>
  </si>
  <si>
    <t>89270191650</t>
  </si>
  <si>
    <t>Нехай Ольга Александровна</t>
  </si>
  <si>
    <t>o.nahai@mail.ru</t>
  </si>
  <si>
    <t>89371745049</t>
  </si>
  <si>
    <t xml:space="preserve"> Екатерина Юрьевна Галанцева</t>
  </si>
  <si>
    <t>Shikileva.Ekaterina@mail.ru</t>
  </si>
  <si>
    <t>+7 927 022 24 85</t>
  </si>
  <si>
    <t>o.nehai@mail.ru</t>
  </si>
  <si>
    <t>+7 937 174-50-49</t>
  </si>
  <si>
    <t>+79371745049</t>
  </si>
  <si>
    <t>Гаврилина Лилия Владимировна</t>
  </si>
  <si>
    <t>gavrilinaliliya@yandex.ru</t>
  </si>
  <si>
    <t>89372320650</t>
  </si>
  <si>
    <t>Мусина Лилия Рифкатовна</t>
  </si>
  <si>
    <t>musinalr1976@mail.ru</t>
  </si>
  <si>
    <t>89276131222</t>
  </si>
  <si>
    <t>Костина Дарья Николаевна</t>
  </si>
  <si>
    <t>Shalaeva_27@mail.ru</t>
  </si>
  <si>
    <t>89272176889</t>
  </si>
  <si>
    <t>Моторин Игорь Михайлович</t>
  </si>
  <si>
    <t>i.motorin2010@yandex.ru</t>
  </si>
  <si>
    <t>89277157658</t>
  </si>
  <si>
    <t>Седлина Лариса Михайловна</t>
  </si>
  <si>
    <t>larisasedlina@mail.ru</t>
  </si>
  <si>
    <t>89277724494</t>
  </si>
  <si>
    <t xml:space="preserve">Богочева Наталья Алексеевна </t>
  </si>
  <si>
    <t>nnnaaatttaaa@inbox.ru</t>
  </si>
  <si>
    <t>89171662806</t>
  </si>
  <si>
    <t>Бочарова Людмила Викторовна</t>
  </si>
  <si>
    <t>olgaloskova1@gmail.com</t>
  </si>
  <si>
    <t>89372164717</t>
  </si>
  <si>
    <t>Шкирева Анна Сергеевна</t>
  </si>
  <si>
    <t>anna.shkireva88@yandex.ru</t>
  </si>
  <si>
    <t>89626148833</t>
  </si>
  <si>
    <t>Верязов Дмитрий Михайлович</t>
  </si>
  <si>
    <t>veryazov64@mail.ru</t>
  </si>
  <si>
    <t>+79277111585</t>
  </si>
  <si>
    <t>Лукина Дина Рашидовна</t>
  </si>
  <si>
    <t>dinazarbieva@gmail.com</t>
  </si>
  <si>
    <t>+79276102759</t>
  </si>
  <si>
    <t xml:space="preserve">Матвеева Татьяна Петровна </t>
  </si>
  <si>
    <t xml:space="preserve">missis.matan@yandex.ru </t>
  </si>
  <si>
    <t>89376412798</t>
  </si>
  <si>
    <t>Шерышев Дмитрий Александрович</t>
  </si>
  <si>
    <t>dmitry-sheryshev@yandex.ru</t>
  </si>
  <si>
    <t>+79874560642</t>
  </si>
  <si>
    <t>Кадерова Светлана Николаевна</t>
  </si>
  <si>
    <t>Kaderova-sn@yandex.ru</t>
  </si>
  <si>
    <t>+79279061098</t>
  </si>
  <si>
    <t>Голынская Лариса Ивановна</t>
  </si>
  <si>
    <t>larisa.golynskaya@mail.ru</t>
  </si>
  <si>
    <t>89171240998</t>
  </si>
  <si>
    <t>Васильева Елена Валентиновна</t>
  </si>
  <si>
    <t>Elena-tyt@yandex.ru</t>
  </si>
  <si>
    <t>+7 906 128 7195</t>
  </si>
  <si>
    <t>Яхонтов Андрей Владимирович</t>
  </si>
  <si>
    <t>Andrey_maneger@mail.ru</t>
  </si>
  <si>
    <t>89276522623</t>
  </si>
  <si>
    <t>Ширякин Алексей Михайлович</t>
  </si>
  <si>
    <t>shiram@mail.ru</t>
  </si>
  <si>
    <t>89276553490</t>
  </si>
  <si>
    <t>Козлов Алексей Валентинович</t>
  </si>
  <si>
    <t>al21gaz@mail.ru</t>
  </si>
  <si>
    <t>89272688898</t>
  </si>
  <si>
    <t>Агафонова Наталья Анатольевна</t>
  </si>
  <si>
    <t>agafonova.n.n1975@gmail.com</t>
  </si>
  <si>
    <t>+79272059109</t>
  </si>
  <si>
    <t>Албякова Алина Вячеславовна</t>
  </si>
  <si>
    <t>albakovaalina82@gmail.com</t>
  </si>
  <si>
    <t>89608456556</t>
  </si>
  <si>
    <t>Рябова Ольга Валерьевна</t>
  </si>
  <si>
    <t>olvarya@mail.ru</t>
  </si>
  <si>
    <t>+7 917 133 7513</t>
  </si>
  <si>
    <t xml:space="preserve">Рябова Ольга Валерьевна </t>
  </si>
  <si>
    <t>+79171337513</t>
  </si>
  <si>
    <t>Шевчук Наталья Евгеньевна</t>
  </si>
  <si>
    <t>nataly.madam@yandex.ru</t>
  </si>
  <si>
    <t>89179612025</t>
  </si>
  <si>
    <t>Райзвих Наталья Сергеевна</t>
  </si>
  <si>
    <t>rayzvikhn@mail.ru</t>
  </si>
  <si>
    <t>89272672007</t>
  </si>
  <si>
    <t>Пучко Ксения Михайловна</t>
  </si>
  <si>
    <t>89276042045</t>
  </si>
  <si>
    <t>Степанова Татьяна Павловна</t>
  </si>
  <si>
    <t>Stepanova1tatyana@gmail.com</t>
  </si>
  <si>
    <t>+79272992206</t>
  </si>
  <si>
    <t xml:space="preserve">Гладышева Юлия Николаевна </t>
  </si>
  <si>
    <t>gladisheva198@mail.ru</t>
  </si>
  <si>
    <t>89277379092</t>
  </si>
  <si>
    <t>Шенцева Татьяна Павловна</t>
  </si>
  <si>
    <t>gooddelo63@gmail.com</t>
  </si>
  <si>
    <t>89379844298</t>
  </si>
  <si>
    <t xml:space="preserve">Лафуткина Валерия Александровна </t>
  </si>
  <si>
    <t>dedyulinav@bk.ru</t>
  </si>
  <si>
    <t>89879488345</t>
  </si>
  <si>
    <t>Задание 1</t>
  </si>
  <si>
    <t>Задание 2</t>
  </si>
  <si>
    <t>Задание 3</t>
  </si>
  <si>
    <t>Рассказчиков Артём Андреевич</t>
  </si>
  <si>
    <t>МБОУ "Лицей №124" г.о.Самара</t>
  </si>
  <si>
    <t>Букин Александр Игоревич</t>
  </si>
  <si>
    <t>Букина Анна Игоревна</t>
  </si>
  <si>
    <t>МБОУ Лицей №124</t>
  </si>
  <si>
    <t xml:space="preserve">Гусева Кристина </t>
  </si>
  <si>
    <t>ГБОУ СОШ «ОЦ» пгт Рощинский</t>
  </si>
  <si>
    <t xml:space="preserve">Смыкалова Дарья </t>
  </si>
  <si>
    <t>Чуманкин Максим</t>
  </si>
  <si>
    <t>МБОУ лицей №124</t>
  </si>
  <si>
    <t>Ханов Кирилл</t>
  </si>
  <si>
    <t>Шепелев Ярослав</t>
  </si>
  <si>
    <t>Чумакова Полина</t>
  </si>
  <si>
    <t>ГБОУ  СОШ 6</t>
  </si>
  <si>
    <t>Гурьянов Артемий</t>
  </si>
  <si>
    <t>итог</t>
  </si>
  <si>
    <t>да/нет</t>
  </si>
  <si>
    <t>да</t>
  </si>
  <si>
    <t>нет</t>
  </si>
  <si>
    <t xml:space="preserve">Гвоздев Артемий </t>
  </si>
  <si>
    <t xml:space="preserve">Титов Егор </t>
  </si>
  <si>
    <t xml:space="preserve">Астахов Роман </t>
  </si>
  <si>
    <t xml:space="preserve">Иркин Семён </t>
  </si>
  <si>
    <t xml:space="preserve">Ахмедова Ксения </t>
  </si>
  <si>
    <t xml:space="preserve">Харченко Дарья </t>
  </si>
  <si>
    <t xml:space="preserve">Шиханов Максим </t>
  </si>
  <si>
    <t xml:space="preserve">Смелов Савелий </t>
  </si>
  <si>
    <t>ГБОУ СОШ «Образовательный центр» им. Е.М. Зеленова п.г.т. Новосемейкино</t>
  </si>
  <si>
    <t xml:space="preserve">Жуков Никита </t>
  </si>
  <si>
    <t xml:space="preserve">Название образовательного учреждения (кратко)
</t>
  </si>
  <si>
    <t>Фамилия, имя участника</t>
  </si>
  <si>
    <t>Названия строк</t>
  </si>
  <si>
    <t>Общий итог</t>
  </si>
  <si>
    <t>Количество по полю Название образовательного учреждения (кратко)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</si>
</sst>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0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2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ill="1"/>
    <xf numFmtId="0" fontId="0" fillId="0" borderId="1" xfId="0" applyFill="1" applyBorder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Fill="1" applyAlignment="1">
      <alignment wrapText="1"/>
    </xf>
    <xf numFmtId="0" fontId="0" fillId="0" borderId="1" xfId="0" applyFill="1" applyBorder="1" applyAlignment="1">
      <alignment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4" xfId="0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1571625</xdr:colOff>
      <xdr:row>80</xdr:row>
      <xdr:rowOff>180975</xdr:rowOff>
    </xdr:from>
    <xdr:to>
      <xdr:col>3</xdr:col>
      <xdr:colOff>866775</xdr:colOff>
      <xdr:row>105</xdr:row>
      <xdr:rowOff>85725</xdr:rowOff>
    </xdr:to>
    <xdr:sp macro="" textlink="">
      <xdr:nvSpPr>
        <xdr:cNvPr id="1030" name="Text Box 6"/>
        <xdr:cNvSpPr txBox="1">
          <a:spLocks noChangeArrowheads="1"/>
        </xdr:cNvSpPr>
      </xdr:nvSpPr>
      <xdr:spPr bwMode="auto">
        <a:xfrm>
          <a:off x="1571625" y="15420975"/>
          <a:ext cx="5915025" cy="4667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5B9BD5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</a:extLst>
      </xdr:spPr>
      <xdr:txBody>
        <a:bodyPr vertOverflow="clip" wrap="square" lIns="36576" tIns="36576" rIns="36576" bIns="36576" anchor="t" upright="1"/>
        <a:lstStyle/>
        <a:p>
          <a:pPr algn="l" rtl="0">
            <a:defRPr sz="1000"/>
          </a:pPr>
          <a:r>
            <a:rPr lang="ru-RU" sz="1800" b="0" i="0" u="none" strike="noStrike" baseline="0">
              <a:solidFill>
                <a:srgbClr val="000000"/>
              </a:solidFill>
              <a:latin typeface="Gilroy Cyr"/>
            </a:rPr>
            <a:t>Настоящий сертификат подтверждает, что</a:t>
          </a:r>
        </a:p>
        <a:p>
          <a:pPr algn="l" rtl="0">
            <a:defRPr sz="1000"/>
          </a:pPr>
          <a:r>
            <a:rPr lang="ru-RU" sz="2000" b="1" i="0" u="none" strike="noStrike" baseline="0">
              <a:solidFill>
                <a:srgbClr val="000000"/>
              </a:solidFill>
              <a:latin typeface="Gilroy Cyr"/>
            </a:rPr>
            <a:t>Абдалов Степан Владимирович</a:t>
          </a:r>
        </a:p>
        <a:p>
          <a:pPr algn="l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Gilroy Cyr"/>
            </a:rPr>
            <a:t>ГБОУ СОШ с.Красноармейское</a:t>
          </a:r>
          <a:endParaRPr lang="ru-RU" sz="1800" b="0" i="0" u="none" strike="noStrike" baseline="0">
            <a:solidFill>
              <a:srgbClr val="000000"/>
            </a:solidFill>
            <a:latin typeface="Gilroy Cyr"/>
          </a:endParaRPr>
        </a:p>
        <a:p>
          <a:pPr algn="l" rtl="0">
            <a:defRPr sz="1000"/>
          </a:pPr>
          <a:endParaRPr lang="ru-RU" sz="18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ru-RU" sz="18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принял(а) участие в мастер</a:t>
          </a:r>
          <a:r>
            <a:rPr lang="ru-RU" sz="1800" b="0" i="0" u="none" strike="noStrike" baseline="0">
              <a:solidFill>
                <a:srgbClr val="000000"/>
              </a:solidFill>
              <a:latin typeface="Gilroy"/>
              <a:ea typeface="Calibri"/>
              <a:cs typeface="Calibri"/>
            </a:rPr>
            <a:t>-</a:t>
          </a:r>
          <a:r>
            <a:rPr lang="ru-RU" sz="1800" b="0" i="0" u="none" strike="noStrike" baseline="0">
              <a:solidFill>
                <a:srgbClr val="000000"/>
              </a:solidFill>
              <a:latin typeface="Gilroy Cyr"/>
              <a:ea typeface="Calibri"/>
              <a:cs typeface="Calibri"/>
            </a:rPr>
            <a:t>классе</a:t>
          </a:r>
          <a:endParaRPr lang="ru-RU" sz="1800" b="1" i="0" u="none" strike="noStrike" baseline="0">
            <a:solidFill>
              <a:srgbClr val="000000"/>
            </a:solidFill>
            <a:latin typeface="Gilroy"/>
            <a:ea typeface="Calibri"/>
            <a:cs typeface="Calibri"/>
          </a:endParaRPr>
        </a:p>
        <a:p>
          <a:pPr algn="l" rtl="0">
            <a:defRPr sz="1000"/>
          </a:pPr>
          <a:r>
            <a:rPr lang="ru-RU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«</a:t>
          </a:r>
          <a:r>
            <a:rPr lang="ru-RU" sz="1800" b="1" i="0" u="none" strike="noStrike" baseline="0">
              <a:solidFill>
                <a:srgbClr val="000000"/>
              </a:solidFill>
              <a:latin typeface="Gilroy Cyr"/>
              <a:ea typeface="Calibri"/>
              <a:cs typeface="Calibri"/>
            </a:rPr>
            <a:t>Создание 3</a:t>
          </a:r>
          <a:r>
            <a:rPr lang="ru-RU" sz="1800" b="1" i="0" u="none" strike="noStrike" baseline="0">
              <a:solidFill>
                <a:srgbClr val="000000"/>
              </a:solidFill>
              <a:latin typeface="Gilroy"/>
              <a:ea typeface="Calibri"/>
              <a:cs typeface="Calibri"/>
            </a:rPr>
            <a:t>D-</a:t>
          </a:r>
          <a:r>
            <a:rPr lang="ru-RU" sz="1800" b="1" i="0" u="none" strike="noStrike" baseline="0">
              <a:solidFill>
                <a:srgbClr val="000000"/>
              </a:solidFill>
              <a:latin typeface="Gilroy Cyr"/>
              <a:ea typeface="Calibri"/>
              <a:cs typeface="Calibri"/>
            </a:rPr>
            <a:t>модели новогодней елки</a:t>
          </a:r>
          <a:r>
            <a:rPr lang="ru-RU" sz="1800" b="1" i="0" u="none" strike="noStrike" baseline="0">
              <a:solidFill>
                <a:srgbClr val="000000"/>
              </a:solidFill>
              <a:latin typeface="Gilroy"/>
              <a:ea typeface="Calibri"/>
              <a:cs typeface="Calibri"/>
            </a:rPr>
            <a:t>»</a:t>
          </a:r>
          <a:endParaRPr lang="ru-RU" sz="1800" b="1" i="0" u="none" strike="noStrike" baseline="0">
            <a:solidFill>
              <a:srgbClr val="000000"/>
            </a:solidFill>
            <a:latin typeface="Gilroy Cyr"/>
            <a:ea typeface="Calibri"/>
            <a:cs typeface="Calibri"/>
          </a:endParaRPr>
        </a:p>
        <a:p>
          <a:pPr algn="l" rtl="0">
            <a:defRPr sz="1000"/>
          </a:pPr>
          <a:r>
            <a:rPr lang="ru-RU" sz="1800" b="0" i="0" u="none" strike="noStrike" baseline="0">
              <a:solidFill>
                <a:srgbClr val="000000"/>
              </a:solidFill>
              <a:latin typeface="Gilroy Cyr"/>
            </a:rPr>
            <a:t>в рамках областного мероприятия            </a:t>
          </a:r>
          <a:r>
            <a:rPr lang="ru-RU" sz="1800" b="1" i="0" u="none" strike="noStrike" baseline="0">
              <a:solidFill>
                <a:srgbClr val="000000"/>
              </a:solidFill>
              <a:latin typeface="Gilroy"/>
            </a:rPr>
            <a:t>«</a:t>
          </a:r>
          <a:r>
            <a:rPr lang="ru-RU" sz="1800" b="1" i="0" u="none" strike="noStrike" baseline="0">
              <a:solidFill>
                <a:srgbClr val="000000"/>
              </a:solidFill>
              <a:latin typeface="Gilroy Cyr"/>
            </a:rPr>
            <a:t>Инженерные каникулы</a:t>
          </a:r>
          <a:r>
            <a:rPr lang="ru-RU" sz="1800" b="1" i="0" u="none" strike="noStrike" baseline="0">
              <a:solidFill>
                <a:srgbClr val="000000"/>
              </a:solidFill>
              <a:latin typeface="Gilroy"/>
            </a:rPr>
            <a:t>»</a:t>
          </a:r>
        </a:p>
        <a:p>
          <a:pPr algn="l" rtl="0">
            <a:defRPr sz="1000"/>
          </a:pPr>
          <a:r>
            <a:rPr lang="ru-RU" sz="1600" b="0" i="0" u="none" strike="noStrike" baseline="0">
              <a:solidFill>
                <a:srgbClr val="000000"/>
              </a:solidFill>
              <a:latin typeface="Gilroy"/>
            </a:rPr>
            <a:t>02.01.-17.01.2026 </a:t>
          </a:r>
          <a:r>
            <a:rPr lang="ru-RU" sz="1600" b="0" i="0" u="none" strike="noStrike" baseline="0">
              <a:solidFill>
                <a:srgbClr val="000000"/>
              </a:solidFill>
              <a:latin typeface="Gilroy Cyr"/>
            </a:rPr>
            <a:t>г.</a:t>
          </a: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Calibri Cyr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endParaRPr lang="ru-RU" sz="10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1714500</xdr:colOff>
      <xdr:row>104</xdr:row>
      <xdr:rowOff>47625</xdr:rowOff>
    </xdr:from>
    <xdr:to>
      <xdr:col>2</xdr:col>
      <xdr:colOff>1314450</xdr:colOff>
      <xdr:row>112</xdr:row>
      <xdr:rowOff>133350</xdr:rowOff>
    </xdr:to>
    <xdr:pic>
      <xdr:nvPicPr>
        <xdr:cNvPr id="8" name="Рисунок 7" descr="Печать с подписью Новиков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7700" y="19859625"/>
          <a:ext cx="1609725" cy="16097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5B9BD5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1600200</xdr:colOff>
      <xdr:row>102</xdr:row>
      <xdr:rowOff>180975</xdr:rowOff>
    </xdr:from>
    <xdr:to>
      <xdr:col>3</xdr:col>
      <xdr:colOff>819150</xdr:colOff>
      <xdr:row>107</xdr:row>
      <xdr:rowOff>123825</xdr:rowOff>
    </xdr:to>
    <xdr:sp macro="" textlink="">
      <xdr:nvSpPr>
        <xdr:cNvPr id="1032" name="Text Box 8"/>
        <xdr:cNvSpPr txBox="1">
          <a:spLocks noChangeArrowheads="1"/>
        </xdr:cNvSpPr>
      </xdr:nvSpPr>
      <xdr:spPr bwMode="auto">
        <a:xfrm>
          <a:off x="1600200" y="19611975"/>
          <a:ext cx="5838825" cy="8953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5B9BD5"/>
              </a:solidFill>
            </a14:hiddenFill>
          </a:ext>
          <a:ext uri="{91240B29-F687-4F45-9708-019B960494DF}">
            <a14:hiddenLine xmlns:a14="http://schemas.microsoft.com/office/drawing/2010/main" w="25400" algn="ctr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</a:extLst>
      </xdr:spPr>
      <xdr:txBody>
        <a:bodyPr vertOverflow="clip" wrap="square" lIns="36576" tIns="36576" rIns="36576" bIns="36576" anchor="t" upright="1"/>
        <a:lstStyle/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Gilroy Cyr"/>
            </a:rPr>
            <a:t>Руководитель                                Новиков В.М.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Gilroy"/>
            </a:rPr>
            <a:t>«</a:t>
          </a:r>
          <a:r>
            <a:rPr lang="ru-RU" sz="1200" b="0" i="0" u="none" strike="noStrike" baseline="0">
              <a:solidFill>
                <a:srgbClr val="000000"/>
              </a:solidFill>
              <a:latin typeface="Gilroy Cyr"/>
            </a:rPr>
            <a:t>Кванториум Жигулевская долина</a:t>
          </a:r>
          <a:r>
            <a:rPr lang="ru-RU" sz="1200" b="0" i="0" u="none" strike="noStrike" baseline="0">
              <a:solidFill>
                <a:srgbClr val="000000"/>
              </a:solidFill>
              <a:latin typeface="Gilroy"/>
            </a:rPr>
            <a:t>»</a:t>
          </a:r>
        </a:p>
        <a:p>
          <a:pPr algn="l" rtl="0">
            <a:defRPr sz="1000"/>
          </a:pPr>
          <a:r>
            <a:rPr lang="ru-RU" sz="1200" b="0" i="0" u="none" strike="noStrike" baseline="0">
              <a:solidFill>
                <a:srgbClr val="000000"/>
              </a:solidFill>
              <a:latin typeface="Gilroy Cyr"/>
            </a:rPr>
            <a:t>г. Тольятти, 2026 г.</a:t>
          </a:r>
        </a:p>
        <a:p>
          <a:pPr algn="l" rtl="0">
            <a:defRPr sz="1000"/>
          </a:pPr>
          <a:endParaRPr lang="ru-RU" sz="1200" b="0" i="0" u="none" strike="noStrike" baseline="0">
            <a:solidFill>
              <a:srgbClr val="000000"/>
            </a:solidFill>
            <a:latin typeface="Gilroy Cyr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veta" refreshedDate="46086.38979710648" createdVersion="6" refreshedVersion="6" minRefreshableVersion="3" recordCount="63">
  <cacheSource type="worksheet">
    <worksheetSource ref="A1:K64" sheet="протокол"/>
  </cacheSource>
  <cacheFields count="11">
    <cacheField name="да/нет" numFmtId="0">
      <sharedItems containsBlank="1"/>
    </cacheField>
    <cacheField name="Название образовательного учреждения (кратко)" numFmtId="0">
      <sharedItems count="43">
        <s v="ГАОУ СО «СамЛИТ (Базовая школа РАН)»"/>
        <s v="СП ЦВР ГБОУ СОШ 9 г.о. Октябрьск"/>
        <s v="МБУ школа &quot;Образовательный центр &quot;Галактика&quot;"/>
        <s v="ЦДОД &quot;Развитие&quot; с. Алексеевка"/>
        <s v="ГБОУ СОШ №2 с. Обшаровка"/>
        <s v="ГБОУ СОШ &quot;Образовательный центр&quot; им. Е.М. Зеленова п.г.т. Новосемейкино"/>
        <s v="СП ЦДО &quot;Гармония&quot; ГБОУ СОШ №4 п.г.т.Алексеевка"/>
        <s v="МБУ &quot;Лицей № 76&quot;"/>
        <s v="ОДОД &quot;ЕЦДОД&quot; ГБОУ СОШ им.М.Н.Заводского с. Елховка"/>
        <s v="ГБОУ СОШ им. М.К.Овсянникова с. Исаклы"/>
        <s v="МБУ &quot;Школа №73&quot;"/>
        <s v="ГБОУ СОШ с. Среднее Аверкино"/>
        <s v="Пестравский филиал ГБОУ СОШ с Майское ДДТ с Пестравка"/>
        <s v="МБУ &quot;Лицей №51&quot;"/>
        <s v="СП ЦДО &quot;Гармония&quot;ГБОУ СОШ №4"/>
        <s v="СП детский мини-технопарк &quot;Технополис 21.0&quot; ГБОУ ООШ №21 г.о. Чапаевск"/>
        <s v="ГБОУ СОШ №6  "/>
        <s v="ГБОУ СОШ «ОЦ» пгт Рощинский"/>
        <s v="ГБОУ СОШ с.Новодевичье"/>
        <s v="МБОУ Лицей №124"/>
        <s v="ГБОУ СОШ с.Старый Маклауш "/>
        <s v="ГАОУ СО &quot;СамЛИТ (Базовая школа РАН)&quot;"/>
        <s v="ГБОУ СОШ с.Красноармейское"/>
        <s v="СП &quot;ЦВР&quot; ГБОУ СОШ № 17 г. Сызрани"/>
        <s v="ГБОУ СОШ им. В.С.Чекмасова с. Большое Микушкино"/>
        <s v="ГБОУ СОШ №2 &quot;ОЦ&quot; с. Борское"/>
        <s v="Лицей 51"/>
        <s v="Дом детского творчества &quot;Гармония&quot; с. Борское"/>
        <s v="ГБОУ  СОШ 6"/>
        <s v="ГБОУ СОШ п.г.т. Мирный"/>
        <s v="МБУ &quot; Школа  № 81&quot;"/>
        <s v="МБОУ &quot;Лицей №124&quot; г.о.Самара"/>
        <s v="СП ЦВР ГБОУ СОШ Шигоны"/>
        <s v="СП ГБОУ СОШ №6 г.о.Отрадный ЦДОД сетевое взаимодействие ГБОУ ООШ №2 г.о.Отрадный"/>
        <s v="СП ГБОУ СОШ №6 г.о.Отрадный ЦДОД "/>
        <s v="ГБОУ СОШ 12 г Сызрани"/>
        <s v="ГБОУ школа-интернат №17 г.о.Самара"/>
        <s v="МБУ &quot; Школа № 81&quot;"/>
        <s v="МБУ Лицей 51"/>
        <s v="Сп ГБОУ СОШ 6 г.о. Отрадный ЦДОД и сетевое взаимодействие ГБОУ ООШ 2"/>
        <s v="МБОУ Школа № 149"/>
        <s v="Школа 168"/>
        <s v="МБУ школа N°18"/>
      </sharedItems>
    </cacheField>
    <cacheField name="Фамилия, имя участника 1" numFmtId="0">
      <sharedItems/>
    </cacheField>
    <cacheField name="Фамилия, имя участника 2" numFmtId="0">
      <sharedItems/>
    </cacheField>
    <cacheField name="Фамилия, имя отчество наставника" numFmtId="0">
      <sharedItems containsBlank="1"/>
    </cacheField>
    <cacheField name="Адрес электронной почты наставника" numFmtId="0">
      <sharedItems containsBlank="1"/>
    </cacheField>
    <cacheField name="Телефон наставника" numFmtId="0">
      <sharedItems containsBlank="1"/>
    </cacheField>
    <cacheField name="Задание 1" numFmtId="0">
      <sharedItems containsSemiMixedTypes="0" containsString="0" containsNumber="1" containsInteger="1" minValue="0" maxValue="30"/>
    </cacheField>
    <cacheField name="Задание 2" numFmtId="0">
      <sharedItems containsSemiMixedTypes="0" containsString="0" containsNumber="1" containsInteger="1" minValue="0" maxValue="29"/>
    </cacheField>
    <cacheField name="Задание 3" numFmtId="0">
      <sharedItems containsSemiMixedTypes="0" containsString="0" containsNumber="1" containsInteger="1" minValue="0" maxValue="30"/>
    </cacheField>
    <cacheField name="итог" numFmtId="0">
      <sharedItems containsSemiMixedTypes="0" containsString="0" containsNumber="1" containsInteger="1" minValue="0" maxValue="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">
  <r>
    <s v="да"/>
    <x v="0"/>
    <s v="Гвоздев Артемий Андреевич"/>
    <s v="Титов Егор Иванович"/>
    <s v="Нехай Ольга Александровна"/>
    <s v="o.nahai@mail.ru"/>
    <s v="89371745049"/>
    <n v="30"/>
    <n v="29"/>
    <n v="25"/>
    <n v="84"/>
  </r>
  <r>
    <s v="да"/>
    <x v="0"/>
    <s v="Астахов Роман Артемович"/>
    <s v="Иркин Семён Евгеньевич"/>
    <s v="Нехай Ольга Александровна"/>
    <s v="o.nehai@mail.ru"/>
    <s v="+79371745049"/>
    <n v="28"/>
    <n v="25"/>
    <n v="28"/>
    <n v="81"/>
  </r>
  <r>
    <s v="нет"/>
    <x v="1"/>
    <s v="Ахмедова Ксения Тимуровна"/>
    <s v="Харченко Дарья Евгеньевна"/>
    <s v="Голенкова Татьяна Владимировна"/>
    <s v="tg85@rambler.ru"/>
    <s v="89063388151"/>
    <n v="30"/>
    <n v="23"/>
    <n v="27"/>
    <n v="80"/>
  </r>
  <r>
    <s v="да"/>
    <x v="2"/>
    <s v="Блохин Константин"/>
    <s v="Тренгулов Амир"/>
    <s v="Васильева Елена Валентиновна"/>
    <s v="Elena-tyt@yandex.ru"/>
    <s v="+7 906 128 7195"/>
    <n v="30"/>
    <n v="27"/>
    <n v="23"/>
    <n v="80"/>
  </r>
  <r>
    <s v="да"/>
    <x v="3"/>
    <s v="Паренская Анна"/>
    <s v="Феоктистова Анастасия"/>
    <s v="Ширякин Алексей Михайлович"/>
    <s v="shiram@mail.ru"/>
    <s v="89276553490"/>
    <n v="30"/>
    <n v="22"/>
    <n v="28"/>
    <n v="80"/>
  </r>
  <r>
    <s v="нет"/>
    <x v="4"/>
    <s v="Тюрин Денис"/>
    <s v="Тюрин Владимир"/>
    <s v="Кадерова Светлана Николаевна"/>
    <s v="Kaderova-sn@yandex.ru"/>
    <s v="+79279061098"/>
    <n v="30"/>
    <n v="29"/>
    <n v="21"/>
    <n v="80"/>
  </r>
  <r>
    <s v="да"/>
    <x v="5"/>
    <s v="Енин Арсений"/>
    <s v="Енин Леонид"/>
    <s v="Шенцева Татьяна Павловна"/>
    <s v="gooddelo63@gmail.com"/>
    <s v="89379844298"/>
    <n v="30"/>
    <n v="20"/>
    <n v="29"/>
    <n v="79"/>
  </r>
  <r>
    <s v="да"/>
    <x v="0"/>
    <s v="Шиханов Максим Сергеевич "/>
    <s v="Смелов Савелий Витальевич "/>
    <s v="Нехай Ольга Александровна"/>
    <s v="o.nehai@mail.ru"/>
    <s v="89371745049"/>
    <n v="30"/>
    <n v="19"/>
    <n v="29"/>
    <n v="78"/>
  </r>
  <r>
    <s v="да"/>
    <x v="2"/>
    <s v="Сазонов Евгений"/>
    <s v="Черных Степан"/>
    <s v="Шерышев Дмитрий Александрович"/>
    <s v="dmitry-sheryshev@yandex.ru"/>
    <s v="+79874560642"/>
    <n v="30"/>
    <n v="25"/>
    <n v="22"/>
    <n v="77"/>
  </r>
  <r>
    <s v="да"/>
    <x v="6"/>
    <s v="Куркин Кирилл"/>
    <s v="Жуков Никита Александрович "/>
    <s v="Кузнецова Надежда Александровна"/>
    <s v="garmony-center@mail.ru"/>
    <s v="89370619174"/>
    <n v="30"/>
    <n v="22"/>
    <n v="23"/>
    <n v="75"/>
  </r>
  <r>
    <s v="да"/>
    <x v="3"/>
    <s v="Ткаченко Артём"/>
    <s v="Пеньков Сергей"/>
    <s v="Ширякин Алексей Михайлович"/>
    <s v="shiram@mail.ru"/>
    <s v="89276553490"/>
    <n v="30"/>
    <n v="23"/>
    <n v="22"/>
    <n v="75"/>
  </r>
  <r>
    <m/>
    <x v="7"/>
    <s v="Гайсин Артём"/>
    <s v="Купцов Григорий"/>
    <s v="Шевчук Наталья Евгеньевна"/>
    <s v="nataly.madam@yandex.ru"/>
    <s v="89179612025"/>
    <n v="30"/>
    <n v="21"/>
    <n v="22"/>
    <n v="73"/>
  </r>
  <r>
    <m/>
    <x v="8"/>
    <s v="Ломоносов Арсений"/>
    <s v="Кирпичёв Николай "/>
    <s v="Подосян Эдита Артушовна"/>
    <s v="ododelhovka@mail.ru"/>
    <s v="89270191650"/>
    <n v="30"/>
    <n v="15"/>
    <n v="27"/>
    <n v="72"/>
  </r>
  <r>
    <m/>
    <x v="9"/>
    <s v="Иванов Иван"/>
    <s v="Моисеев Михаил"/>
    <s v="Моторин Игорь Михайлович"/>
    <s v="i.motorin2010@yandex.ru"/>
    <s v="89277157658"/>
    <n v="30"/>
    <n v="10"/>
    <n v="30"/>
    <n v="70"/>
  </r>
  <r>
    <m/>
    <x v="10"/>
    <s v="Коноплёв Илья "/>
    <s v="Осипов Кирилл "/>
    <s v="Рябова Ольга Валерьевна "/>
    <s v="olvarya@mail.ru"/>
    <s v="+79171337513"/>
    <n v="30"/>
    <n v="17"/>
    <n v="23"/>
    <n v="70"/>
  </r>
  <r>
    <m/>
    <x v="1"/>
    <s v="Сергеева Снежана Николаевна"/>
    <s v="Алашеева Виктория Владиславовна"/>
    <s v="Голенкова Татьяна Владимировна"/>
    <s v="tg85@rambler.ru"/>
    <s v="89063388151"/>
    <n v="30"/>
    <n v="15"/>
    <n v="22"/>
    <n v="67"/>
  </r>
  <r>
    <m/>
    <x v="0"/>
    <s v="Стефанюк Кирилл Сергеевич"/>
    <s v="Гришин Тимур Вячеславович"/>
    <s v="Нехай Ольга Александровна"/>
    <s v="o.nehai@mail.ru"/>
    <s v="89371745049"/>
    <n v="30"/>
    <n v="12"/>
    <n v="23"/>
    <n v="65"/>
  </r>
  <r>
    <m/>
    <x v="11"/>
    <s v="Акимов Иван Сергеевич"/>
    <s v="Спадеров Антон Евгеньевич"/>
    <s v="Щенева Юлия Валерьевна"/>
    <s v="shheneva86@mail.ru"/>
    <s v="79371882561"/>
    <n v="30"/>
    <n v="10"/>
    <n v="22"/>
    <n v="62"/>
  </r>
  <r>
    <m/>
    <x v="12"/>
    <s v="Павлов Павел Павлович"/>
    <s v="Емельянов Алексей Николаевич "/>
    <s v="Кириченко Елена Сергеевна"/>
    <s v="elenakir.25@mail.ru"/>
    <s v="89608198476"/>
    <n v="30"/>
    <n v="5"/>
    <n v="27"/>
    <n v="62"/>
  </r>
  <r>
    <m/>
    <x v="13"/>
    <s v="Лоськова Лариса"/>
    <s v="Кочергина Кира"/>
    <s v="Бочарова Людмила Викторовна"/>
    <s v="olgaloskova1@gmail.com"/>
    <s v="89372164717"/>
    <n v="30"/>
    <n v="15"/>
    <n v="16"/>
    <n v="61"/>
  </r>
  <r>
    <m/>
    <x v="5"/>
    <s v="Киселёв Игнат"/>
    <s v="Рысьянова Милана"/>
    <s v="Шенцева Татьяна Павловна"/>
    <s v="gooddelo63@gmail.com"/>
    <s v="89379844298"/>
    <n v="30"/>
    <n v="0"/>
    <n v="29"/>
    <n v="59"/>
  </r>
  <r>
    <m/>
    <x v="14"/>
    <s v="Нечушкина Василиса"/>
    <s v="Бородакова Алиса"/>
    <s v="Кузнецова Надежда Александровна"/>
    <s v="garmony-center@mail.ru"/>
    <s v="89297077042"/>
    <n v="30"/>
    <n v="1"/>
    <n v="24"/>
    <n v="55"/>
  </r>
  <r>
    <m/>
    <x v="15"/>
    <s v="Балашов Александр Евгеньевич "/>
    <s v="Добин Ярослав Алексеевич "/>
    <s v="Богочева Наталья Алексеевна "/>
    <s v="nnnaaatttaaa@inbox.ru"/>
    <s v="89171662806"/>
    <n v="16"/>
    <n v="10"/>
    <n v="26"/>
    <n v="52"/>
  </r>
  <r>
    <m/>
    <x v="16"/>
    <s v="Кутин Михаил"/>
    <s v="Хабибянов Антон"/>
    <s v="Голынская Лариса Ивановна"/>
    <s v="larisa.golynskaya@mail.ru"/>
    <s v="89171240998"/>
    <n v="30"/>
    <n v="0"/>
    <n v="22"/>
    <n v="52"/>
  </r>
  <r>
    <m/>
    <x v="17"/>
    <s v="Смыкалова Дарья "/>
    <s v="Чуманкин Максим"/>
    <s v="Беляева Ольга Юрьевна "/>
    <s v="otu_87@list.ru"/>
    <s v="+7 987 981 8172"/>
    <n v="30"/>
    <n v="0"/>
    <n v="22"/>
    <n v="52"/>
  </r>
  <r>
    <m/>
    <x v="18"/>
    <s v="Погодин Александр Алексеевич"/>
    <s v="Борисенко Федор Сергеевич"/>
    <s v="Седлина Лариса Михайловна"/>
    <s v="larisasedlina@mail.ru"/>
    <s v="89277724494"/>
    <n v="30"/>
    <n v="0"/>
    <n v="17"/>
    <n v="47"/>
  </r>
  <r>
    <m/>
    <x v="19"/>
    <s v="Гусева Кристина "/>
    <s v="Чумакова Полина"/>
    <m/>
    <m/>
    <m/>
    <n v="20"/>
    <n v="5"/>
    <n v="19"/>
    <n v="44"/>
  </r>
  <r>
    <m/>
    <x v="20"/>
    <s v="Зиганшина Милена Ранисовна "/>
    <s v="Андреева Арина Олеговна"/>
    <s v="Матвеева Татьяна Петровна "/>
    <s v="missis.matan@yandex.ru "/>
    <s v="89376412798"/>
    <n v="8"/>
    <n v="0"/>
    <n v="23"/>
    <n v="31"/>
  </r>
  <r>
    <m/>
    <x v="8"/>
    <s v="Романов Сергей"/>
    <s v="Справчиков Андрей"/>
    <s v="Подосян Эдита Артушовна"/>
    <s v="ododelhovka@mail.ru"/>
    <s v="89270191650"/>
    <n v="16"/>
    <n v="15"/>
    <n v="0"/>
    <n v="31"/>
  </r>
  <r>
    <m/>
    <x v="21"/>
    <s v="Кочетова Мария"/>
    <s v="-"/>
    <s v="Нехай Ольга Александровна"/>
    <s v="o.nehai@mail.ru"/>
    <s v="+7 937 174-50-49"/>
    <n v="30"/>
    <n v="0"/>
    <n v="0"/>
    <n v="30"/>
  </r>
  <r>
    <m/>
    <x v="22"/>
    <s v="Тагачин Харитон Сергеевич"/>
    <s v="Горюшкин Михаил Дмитриевич"/>
    <s v="Яхонтов Андрей Владимирович"/>
    <s v="Andrey_maneger@mail.ru"/>
    <s v="89276522623"/>
    <n v="30"/>
    <n v="0"/>
    <n v="0"/>
    <n v="30"/>
  </r>
  <r>
    <m/>
    <x v="23"/>
    <s v="Фокин Мартин Максимович"/>
    <s v="Ананьев Алексей Георгиевич"/>
    <s v="Гаврилина Лилия Владимировна"/>
    <s v="gavrilinaliliya@yandex.ru"/>
    <s v="89372320650"/>
    <n v="30"/>
    <n v="0"/>
    <n v="0"/>
    <n v="30"/>
  </r>
  <r>
    <m/>
    <x v="24"/>
    <s v="Гольцов Владимир"/>
    <s v="Коростелев Никита"/>
    <s v="Верязов Дмитрий Михайлович"/>
    <s v="veryazov64@mail.ru"/>
    <s v="+79277111585"/>
    <n v="26"/>
    <n v="0"/>
    <n v="0"/>
    <n v="26"/>
  </r>
  <r>
    <m/>
    <x v="25"/>
    <s v="Мишурин Макар Кириллович"/>
    <s v="Шубенкин Дмитрий Святославович"/>
    <s v="Райзвих Наталья Сергеевна"/>
    <s v="rayzvikhn@mail.ru"/>
    <s v="89272672007"/>
    <n v="16"/>
    <n v="10"/>
    <n v="0"/>
    <n v="26"/>
  </r>
  <r>
    <m/>
    <x v="26"/>
    <s v="Шкирев Иван Михайлович"/>
    <s v="0"/>
    <s v="Шкирева Анна Сергеевна"/>
    <s v="anna.shkireva88@yandex.ru"/>
    <s v="89626148833"/>
    <n v="26"/>
    <n v="0"/>
    <n v="0"/>
    <n v="26"/>
  </r>
  <r>
    <m/>
    <x v="2"/>
    <s v="Рассказчиков Артём Андреевич"/>
    <s v="Митин Марк Максимович"/>
    <s v="Козлов Алексей Валентинович"/>
    <s v="al21gaz@mail.ru"/>
    <s v="89272688898"/>
    <n v="22"/>
    <n v="0"/>
    <n v="3"/>
    <n v="25"/>
  </r>
  <r>
    <m/>
    <x v="27"/>
    <s v="Фукс Валентина Гавриловна"/>
    <s v="Мордовская Татьяна Владиславовна"/>
    <s v="Лукина Дина Рашидовна"/>
    <s v="dinazarbieva@gmail.com"/>
    <s v="+79276102759"/>
    <n v="12"/>
    <n v="10"/>
    <n v="0"/>
    <n v="22"/>
  </r>
  <r>
    <m/>
    <x v="28"/>
    <s v="Хабибянов Антон"/>
    <s v="Гурьянов Артемий"/>
    <m/>
    <m/>
    <m/>
    <n v="0"/>
    <n v="21"/>
    <n v="0"/>
    <n v="21"/>
  </r>
  <r>
    <m/>
    <x v="29"/>
    <s v="Сафин Булат"/>
    <s v="Холунов Николай"/>
    <s v="Пучко Ксения Михайловна"/>
    <s v="ГБОУ СОШ п.г.т. Мирный"/>
    <s v="89276042045"/>
    <n v="12"/>
    <n v="7"/>
    <n v="0"/>
    <n v="19"/>
  </r>
  <r>
    <m/>
    <x v="30"/>
    <s v="Головина Ирина  Владимировна"/>
    <s v="Скидан Кира Феликсовна"/>
    <s v="Мусина Лилия Рифкатовна"/>
    <s v="musinalr1976@mail.ru"/>
    <s v="89276131222"/>
    <n v="16"/>
    <n v="0"/>
    <n v="0"/>
    <n v="16"/>
  </r>
  <r>
    <m/>
    <x v="31"/>
    <s v="Букин Александр Игоревич"/>
    <s v="Букина Анна Игоревна"/>
    <m/>
    <m/>
    <m/>
    <n v="12"/>
    <n v="0"/>
    <n v="0"/>
    <n v="12"/>
  </r>
  <r>
    <m/>
    <x v="27"/>
    <s v="Искорнева Ульяна Андреевна"/>
    <s v="Ермакова Александра Александровна"/>
    <s v="Лукина Дина Рашидовна"/>
    <s v="dinazarbieva@gmail.com"/>
    <s v="+79276102759"/>
    <n v="6"/>
    <n v="5"/>
    <n v="0"/>
    <n v="11"/>
  </r>
  <r>
    <m/>
    <x v="32"/>
    <s v="Синицына Ксения"/>
    <s v="Пикунов Дмитрий"/>
    <s v="Степанова Татьяна Павловна"/>
    <s v="Stepanova1tatyana@gmail.com"/>
    <s v="+79272992206"/>
    <n v="10"/>
    <n v="0"/>
    <n v="0"/>
    <n v="10"/>
  </r>
  <r>
    <m/>
    <x v="19"/>
    <s v="Ханов Кирилл"/>
    <s v="Шепелев Ярослав"/>
    <m/>
    <m/>
    <m/>
    <n v="6"/>
    <n v="0"/>
    <n v="0"/>
    <n v="6"/>
  </r>
  <r>
    <m/>
    <x v="33"/>
    <s v="Жуков Роман Дмитриевич"/>
    <s v="Снеговой Артём Андреевич"/>
    <s v="Лафуткина Валерия Александровна "/>
    <s v="dedyulinav@bk.ru"/>
    <s v="89879488345"/>
    <n v="0"/>
    <n v="5"/>
    <n v="0"/>
    <n v="5"/>
  </r>
  <r>
    <m/>
    <x v="27"/>
    <s v="Зайцева Елизавета Павловна"/>
    <s v="Фролова Алиса Михайловна"/>
    <s v="Лукина Дина Рашидовна"/>
    <s v="dinazarbieva@gmail.com"/>
    <s v="+79276102759"/>
    <n v="0"/>
    <n v="5"/>
    <n v="0"/>
    <n v="5"/>
  </r>
  <r>
    <m/>
    <x v="34"/>
    <s v="Погодин Никита Иванович"/>
    <s v="Погодин Данила Иванович"/>
    <s v="Лафуткина Валерия Александровна "/>
    <s v="dedyulinav@bk.ru"/>
    <s v="89879488345"/>
    <n v="0"/>
    <n v="5"/>
    <n v="0"/>
    <n v="5"/>
  </r>
  <r>
    <m/>
    <x v="17"/>
    <s v="Чуманкин  Максим "/>
    <s v="Смыкалова Дарья"/>
    <s v="Беляева Ольга Юрьевна "/>
    <s v="otu_87@list.ru"/>
    <s v="89879818172"/>
    <n v="0"/>
    <n v="5"/>
    <n v="0"/>
    <n v="5"/>
  </r>
  <r>
    <m/>
    <x v="35"/>
    <s v="Афанасьева Александра "/>
    <s v="Тизилов Матвей"/>
    <s v="Албякова Алина Вячеславовна"/>
    <s v="albakovaalina82@gmail.com"/>
    <s v="89608456556"/>
    <n v="0"/>
    <n v="0"/>
    <n v="0"/>
    <n v="0"/>
  </r>
  <r>
    <m/>
    <x v="36"/>
    <s v="Балягин Владислав "/>
    <s v="Петров Никита"/>
    <s v="Пономарев Павел Анатольевич"/>
    <s v="pasha231@rambler.ru"/>
    <s v="89279095048"/>
    <n v="0"/>
    <n v="0"/>
    <n v="0"/>
    <n v="0"/>
  </r>
  <r>
    <m/>
    <x v="37"/>
    <s v="Власова Ульяна Даниловна"/>
    <s v="Фадина Анастасия Сергеевна"/>
    <s v="Мусина Лилия Рифкатовна"/>
    <s v="musinalr1976@mail.ru"/>
    <s v="89276131222"/>
    <n v="0"/>
    <n v="0"/>
    <n v="0"/>
    <n v="0"/>
  </r>
  <r>
    <m/>
    <x v="36"/>
    <s v="Коба Вадим Павлович"/>
    <s v="Кирьянов Камиль"/>
    <s v="Пономарев Павел Анатольевич"/>
    <s v="pasha231@rambler.ru"/>
    <s v="89279095048"/>
    <n v="0"/>
    <n v="0"/>
    <n v="0"/>
    <n v="0"/>
  </r>
  <r>
    <m/>
    <x v="27"/>
    <s v="Корнеева Ксения Геннадьевна"/>
    <s v="Колодин Максим Денисович"/>
    <s v="Лукина Дина Рашидовна"/>
    <s v="dinazarbieva@gmail.com"/>
    <s v="+79276102759"/>
    <n v="0"/>
    <n v="0"/>
    <n v="0"/>
    <n v="0"/>
  </r>
  <r>
    <m/>
    <x v="38"/>
    <s v="Костин Михаил"/>
    <s v="Костина Мария"/>
    <s v="Костина Дарья Николаевна"/>
    <s v="Shalaeva_27@mail.ru"/>
    <s v="89272176889"/>
    <n v="0"/>
    <n v="0"/>
    <n v="0"/>
    <n v="0"/>
  </r>
  <r>
    <m/>
    <x v="39"/>
    <s v="Лищук Семен"/>
    <s v="Козырев Яромир "/>
    <s v="Гладышева Юлия Николаевна "/>
    <s v="gladisheva198@mail.ru"/>
    <s v="89277379092"/>
    <n v="0"/>
    <n v="0"/>
    <n v="0"/>
    <n v="0"/>
  </r>
  <r>
    <m/>
    <x v="24"/>
    <s v="Малов Георгий "/>
    <s v="Игнатьев Илья"/>
    <s v="Верязов Дмитрий Михайлович"/>
    <s v="veryazov64@mail.ru"/>
    <s v="+79277111585"/>
    <n v="0"/>
    <n v="0"/>
    <n v="0"/>
    <n v="0"/>
  </r>
  <r>
    <m/>
    <x v="37"/>
    <s v="Мушкарева Мария "/>
    <s v="туракулов жавлонбек"/>
    <s v="Мусина Лилия Рифкатовна"/>
    <s v="musinalr1976@mail.ru"/>
    <s v="89276131222"/>
    <n v="0"/>
    <n v="0"/>
    <n v="0"/>
    <n v="0"/>
  </r>
  <r>
    <m/>
    <x v="17"/>
    <s v="Новикова Елена Владимировна "/>
    <s v="Тычинина Мила Романовна"/>
    <s v="Беляева Ольга Юрьевна "/>
    <s v="otu_87@list.ru"/>
    <s v="89879818172"/>
    <n v="0"/>
    <n v="0"/>
    <n v="0"/>
    <n v="0"/>
  </r>
  <r>
    <m/>
    <x v="10"/>
    <s v="Осипов Кирилл"/>
    <s v="Гаранин Глеб"/>
    <s v="Рябова Ольга Валерьевна"/>
    <s v="olvarya@mail.ru"/>
    <s v="+7 917 133 7513"/>
    <n v="0"/>
    <n v="0"/>
    <n v="0"/>
    <n v="0"/>
  </r>
  <r>
    <m/>
    <x v="40"/>
    <s v="Степанова Полина Ильинична"/>
    <s v="Ахмолкин Александр"/>
    <s v="Хабибулина Юлия Владимировна"/>
    <s v="khabibulina-yuliya@mail.ru"/>
    <s v="89608161597"/>
    <n v="0"/>
    <n v="0"/>
    <n v="0"/>
    <n v="0"/>
  </r>
  <r>
    <m/>
    <x v="41"/>
    <s v="Сугатов Никита"/>
    <s v="Корнилов Дмитрий"/>
    <s v="Агафонова Наталья Анатольевна"/>
    <s v="agafonova.n.n1975@gmail.com"/>
    <s v="+79272059109"/>
    <n v="0"/>
    <n v="0"/>
    <n v="0"/>
    <n v="0"/>
  </r>
  <r>
    <m/>
    <x v="42"/>
    <s v="Шикилев андрей"/>
    <s v="Александра Шикилева"/>
    <s v=" Екатерина Юрьевна Галанцева"/>
    <s v="Shikileva.Ekaterina@mail.ru"/>
    <s v="+7 927 022 24 85"/>
    <n v="0"/>
    <n v="0"/>
    <n v="0"/>
    <n v="0"/>
  </r>
  <r>
    <m/>
    <x v="33"/>
    <s v="Шишова Ксения Максимовна"/>
    <s v="Тихонова Ангелина Алексеевна "/>
    <s v="Лафуткина Валерия Александровна "/>
    <s v="dedyulinav@bk.ru"/>
    <s v="89879488345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B47" firstHeaderRow="1" firstDataRow="1" firstDataCol="1"/>
  <pivotFields count="11">
    <pivotField showAll="0"/>
    <pivotField axis="axisRow" dataField="1" showAll="0">
      <items count="44">
        <item x="21"/>
        <item x="0"/>
        <item x="28"/>
        <item x="5"/>
        <item x="17"/>
        <item x="35"/>
        <item x="25"/>
        <item x="4"/>
        <item x="16"/>
        <item x="24"/>
        <item x="9"/>
        <item x="29"/>
        <item x="11"/>
        <item x="22"/>
        <item x="18"/>
        <item x="20"/>
        <item x="36"/>
        <item x="27"/>
        <item x="26"/>
        <item x="31"/>
        <item x="19"/>
        <item x="40"/>
        <item x="30"/>
        <item x="37"/>
        <item x="7"/>
        <item x="13"/>
        <item x="10"/>
        <item x="38"/>
        <item x="2"/>
        <item x="42"/>
        <item x="8"/>
        <item x="12"/>
        <item x="23"/>
        <item x="39"/>
        <item x="34"/>
        <item x="33"/>
        <item x="15"/>
        <item x="1"/>
        <item x="32"/>
        <item x="6"/>
        <item x="14"/>
        <item x="3"/>
        <item x="4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4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 t="grand">
      <x/>
    </i>
  </rowItems>
  <colItems count="1">
    <i/>
  </colItems>
  <dataFields count="1">
    <dataField name="Количество по полю Название образовательного учреждения (кратко)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8"/>
  <sheetViews>
    <sheetView tabSelected="1" workbookViewId="0">
      <selection activeCell="B1" sqref="B1"/>
    </sheetView>
  </sheetViews>
  <sheetFormatPr defaultRowHeight="15" x14ac:dyDescent="0.25"/>
  <cols>
    <col min="1" max="1" width="41.140625" customWidth="1"/>
    <col min="2" max="2" width="30.140625" customWidth="1"/>
    <col min="3" max="3" width="28" customWidth="1"/>
    <col min="4" max="4" width="17" customWidth="1"/>
    <col min="5" max="5" width="16.7109375" customWidth="1"/>
    <col min="6" max="6" width="17.140625" customWidth="1"/>
    <col min="7" max="7" width="13.28515625" customWidth="1"/>
    <col min="8" max="8" width="15.5703125" customWidth="1"/>
  </cols>
  <sheetData>
    <row r="1" spans="1:9" s="11" customFormat="1" x14ac:dyDescent="0.25">
      <c r="A1" s="11" t="s">
        <v>0</v>
      </c>
      <c r="B1" s="11" t="s">
        <v>45</v>
      </c>
      <c r="C1" s="11" t="s">
        <v>162</v>
      </c>
      <c r="D1" s="11" t="s">
        <v>163</v>
      </c>
      <c r="E1" s="11" t="s">
        <v>164</v>
      </c>
      <c r="F1" s="11" t="s">
        <v>285</v>
      </c>
      <c r="G1" s="11" t="s">
        <v>286</v>
      </c>
      <c r="H1" s="11" t="s">
        <v>287</v>
      </c>
      <c r="I1" s="11" t="s">
        <v>303</v>
      </c>
    </row>
    <row r="2" spans="1:9" x14ac:dyDescent="0.25">
      <c r="A2" t="s">
        <v>3</v>
      </c>
      <c r="B2" t="s">
        <v>49</v>
      </c>
      <c r="C2" t="s">
        <v>172</v>
      </c>
      <c r="D2" t="s">
        <v>173</v>
      </c>
      <c r="E2" t="s">
        <v>174</v>
      </c>
      <c r="F2" s="1">
        <v>30</v>
      </c>
      <c r="G2">
        <v>10</v>
      </c>
      <c r="H2">
        <v>22</v>
      </c>
      <c r="I2">
        <f>SUM(F2:H2)</f>
        <v>62</v>
      </c>
    </row>
    <row r="3" spans="1:9" x14ac:dyDescent="0.25">
      <c r="A3" s="3" t="s">
        <v>5</v>
      </c>
      <c r="B3" t="s">
        <v>107</v>
      </c>
      <c r="C3" t="s">
        <v>175</v>
      </c>
    </row>
    <row r="4" spans="1:9" x14ac:dyDescent="0.25">
      <c r="A4" t="s">
        <v>12</v>
      </c>
      <c r="B4" t="s">
        <v>117</v>
      </c>
      <c r="C4" t="s">
        <v>194</v>
      </c>
    </row>
    <row r="5" spans="1:9" x14ac:dyDescent="0.25">
      <c r="A5" t="s">
        <v>15</v>
      </c>
      <c r="B5" t="s">
        <v>120</v>
      </c>
      <c r="C5" t="s">
        <v>200</v>
      </c>
    </row>
    <row r="6" spans="1:9" x14ac:dyDescent="0.25">
      <c r="A6" t="s">
        <v>27</v>
      </c>
      <c r="B6" t="s">
        <v>134</v>
      </c>
      <c r="C6" t="s">
        <v>230</v>
      </c>
    </row>
    <row r="7" spans="1:9" x14ac:dyDescent="0.25">
      <c r="A7" t="s">
        <v>35</v>
      </c>
      <c r="B7" t="s">
        <v>89</v>
      </c>
      <c r="C7" t="s">
        <v>257</v>
      </c>
      <c r="D7" t="s">
        <v>258</v>
      </c>
      <c r="E7" t="s">
        <v>259</v>
      </c>
      <c r="F7">
        <v>0</v>
      </c>
      <c r="G7">
        <v>0</v>
      </c>
      <c r="H7">
        <v>0</v>
      </c>
      <c r="I7">
        <f>SUM(F7:H7)</f>
        <v>0</v>
      </c>
    </row>
    <row r="8" spans="1:9" x14ac:dyDescent="0.25">
      <c r="A8" t="s">
        <v>7</v>
      </c>
      <c r="B8" t="s">
        <v>110</v>
      </c>
      <c r="C8" t="s">
        <v>181</v>
      </c>
    </row>
    <row r="9" spans="1:9" x14ac:dyDescent="0.25">
      <c r="A9" t="s">
        <v>21</v>
      </c>
      <c r="B9" t="s">
        <v>70</v>
      </c>
      <c r="C9" t="s">
        <v>215</v>
      </c>
      <c r="D9" t="s">
        <v>216</v>
      </c>
      <c r="E9" t="s">
        <v>217</v>
      </c>
      <c r="F9">
        <v>16</v>
      </c>
      <c r="G9">
        <v>10</v>
      </c>
      <c r="H9">
        <v>26</v>
      </c>
      <c r="I9">
        <f>SUM(F9:H9)</f>
        <v>52</v>
      </c>
    </row>
    <row r="10" spans="1:9" x14ac:dyDescent="0.25">
      <c r="A10" t="s">
        <v>8</v>
      </c>
      <c r="B10" t="s">
        <v>54</v>
      </c>
      <c r="C10" t="s">
        <v>184</v>
      </c>
      <c r="D10" t="s">
        <v>185</v>
      </c>
      <c r="E10" t="s">
        <v>186</v>
      </c>
      <c r="F10">
        <v>0</v>
      </c>
      <c r="G10">
        <v>0</v>
      </c>
      <c r="H10">
        <v>0</v>
      </c>
      <c r="I10">
        <f>SUM(F10:H10)</f>
        <v>0</v>
      </c>
    </row>
    <row r="11" spans="1:9" x14ac:dyDescent="0.25">
      <c r="A11" t="s">
        <v>20</v>
      </c>
      <c r="B11" t="s">
        <v>126</v>
      </c>
      <c r="C11" t="s">
        <v>212</v>
      </c>
    </row>
    <row r="12" spans="1:9" x14ac:dyDescent="0.25">
      <c r="A12" t="s">
        <v>2</v>
      </c>
      <c r="B12" t="s">
        <v>105</v>
      </c>
      <c r="C12" t="s">
        <v>165</v>
      </c>
    </row>
    <row r="13" spans="1:9" s="2" customFormat="1" x14ac:dyDescent="0.25">
      <c r="A13" t="s">
        <v>289</v>
      </c>
      <c r="B13" t="s">
        <v>290</v>
      </c>
      <c r="C13"/>
      <c r="D13"/>
      <c r="E13"/>
      <c r="F13">
        <v>12</v>
      </c>
      <c r="G13">
        <v>0</v>
      </c>
      <c r="H13">
        <v>0</v>
      </c>
      <c r="I13">
        <f>SUM(F13:H13)</f>
        <v>12</v>
      </c>
    </row>
    <row r="14" spans="1:9" x14ac:dyDescent="0.25">
      <c r="A14" t="s">
        <v>289</v>
      </c>
      <c r="B14" t="s">
        <v>291</v>
      </c>
    </row>
    <row r="15" spans="1:9" x14ac:dyDescent="0.25">
      <c r="A15" t="s">
        <v>16</v>
      </c>
      <c r="B15" t="s">
        <v>64</v>
      </c>
      <c r="C15" t="s">
        <v>203</v>
      </c>
      <c r="D15" t="s">
        <v>204</v>
      </c>
      <c r="E15" t="s">
        <v>205</v>
      </c>
      <c r="F15">
        <v>0</v>
      </c>
      <c r="G15">
        <v>0</v>
      </c>
      <c r="H15">
        <v>0</v>
      </c>
      <c r="I15">
        <f>SUM(F15:H15)</f>
        <v>0</v>
      </c>
    </row>
    <row r="16" spans="1:9" x14ac:dyDescent="0.25">
      <c r="A16" s="2" t="s">
        <v>37</v>
      </c>
      <c r="B16" s="2" t="s">
        <v>92</v>
      </c>
      <c r="C16" s="2" t="s">
        <v>265</v>
      </c>
      <c r="D16" s="2" t="s">
        <v>266</v>
      </c>
      <c r="E16" s="2" t="s">
        <v>267</v>
      </c>
      <c r="F16" s="2">
        <v>30</v>
      </c>
      <c r="G16" s="2">
        <v>21</v>
      </c>
      <c r="H16" s="2">
        <v>22</v>
      </c>
      <c r="I16">
        <f>SUM(F16:H16)</f>
        <v>73</v>
      </c>
    </row>
    <row r="17" spans="1:9" x14ac:dyDescent="0.25">
      <c r="A17" t="s">
        <v>36</v>
      </c>
      <c r="B17" t="s">
        <v>149</v>
      </c>
      <c r="C17" t="s">
        <v>260</v>
      </c>
    </row>
    <row r="18" spans="1:9" x14ac:dyDescent="0.25">
      <c r="A18" t="s">
        <v>24</v>
      </c>
      <c r="B18" t="s">
        <v>73</v>
      </c>
      <c r="C18" t="s">
        <v>203</v>
      </c>
      <c r="D18" t="s">
        <v>204</v>
      </c>
      <c r="E18" t="s">
        <v>205</v>
      </c>
      <c r="F18">
        <v>16</v>
      </c>
      <c r="G18">
        <v>0</v>
      </c>
      <c r="H18">
        <v>0</v>
      </c>
      <c r="I18">
        <f>SUM(F18:H18)</f>
        <v>16</v>
      </c>
    </row>
    <row r="19" spans="1:9" x14ac:dyDescent="0.25">
      <c r="A19" t="s">
        <v>25</v>
      </c>
      <c r="B19" t="s">
        <v>79</v>
      </c>
      <c r="C19" t="s">
        <v>224</v>
      </c>
      <c r="D19" t="s">
        <v>225</v>
      </c>
      <c r="E19" t="s">
        <v>226</v>
      </c>
      <c r="F19">
        <v>26</v>
      </c>
      <c r="G19">
        <v>0</v>
      </c>
      <c r="H19">
        <v>0</v>
      </c>
      <c r="I19">
        <f>SUM(F19:H19)</f>
        <v>26</v>
      </c>
    </row>
    <row r="20" spans="1:9" x14ac:dyDescent="0.25">
      <c r="A20" t="s">
        <v>32</v>
      </c>
      <c r="B20" t="s">
        <v>143</v>
      </c>
      <c r="C20" t="s">
        <v>245</v>
      </c>
    </row>
    <row r="21" spans="1:9" x14ac:dyDescent="0.25">
      <c r="A21" s="3" t="s">
        <v>19</v>
      </c>
      <c r="B21" t="s">
        <v>125</v>
      </c>
      <c r="C21" t="s">
        <v>191</v>
      </c>
    </row>
    <row r="22" spans="1:9" x14ac:dyDescent="0.25">
      <c r="A22" t="s">
        <v>301</v>
      </c>
      <c r="B22" t="s">
        <v>302</v>
      </c>
    </row>
    <row r="23" spans="1:9" x14ac:dyDescent="0.25">
      <c r="A23" t="s">
        <v>292</v>
      </c>
      <c r="B23" t="s">
        <v>293</v>
      </c>
      <c r="F23">
        <v>20</v>
      </c>
      <c r="G23">
        <v>5</v>
      </c>
      <c r="H23">
        <v>19</v>
      </c>
      <c r="I23">
        <f>SUM(F23:H23)</f>
        <v>44</v>
      </c>
    </row>
    <row r="24" spans="1:9" x14ac:dyDescent="0.25">
      <c r="A24" t="s">
        <v>21</v>
      </c>
      <c r="B24" t="s">
        <v>127</v>
      </c>
      <c r="C24" t="s">
        <v>215</v>
      </c>
    </row>
    <row r="25" spans="1:9" x14ac:dyDescent="0.25">
      <c r="A25" t="s">
        <v>31</v>
      </c>
      <c r="B25" t="s">
        <v>142</v>
      </c>
      <c r="C25" t="s">
        <v>169</v>
      </c>
    </row>
    <row r="26" spans="1:9" x14ac:dyDescent="0.25">
      <c r="A26" t="s">
        <v>26</v>
      </c>
      <c r="B26" t="s">
        <v>132</v>
      </c>
      <c r="C26" t="s">
        <v>227</v>
      </c>
    </row>
    <row r="27" spans="1:9" x14ac:dyDescent="0.25">
      <c r="A27" t="s">
        <v>43</v>
      </c>
      <c r="B27" t="s">
        <v>101</v>
      </c>
      <c r="C27" t="s">
        <v>282</v>
      </c>
      <c r="D27" t="s">
        <v>283</v>
      </c>
      <c r="E27" t="s">
        <v>284</v>
      </c>
      <c r="F27">
        <v>0</v>
      </c>
      <c r="G27">
        <v>5</v>
      </c>
      <c r="H27">
        <v>0</v>
      </c>
      <c r="I27">
        <f>SUM(F27:H27)</f>
        <v>5</v>
      </c>
    </row>
    <row r="28" spans="1:9" x14ac:dyDescent="0.25">
      <c r="A28" t="s">
        <v>26</v>
      </c>
      <c r="B28" t="s">
        <v>76</v>
      </c>
      <c r="C28" t="s">
        <v>227</v>
      </c>
      <c r="D28" t="s">
        <v>228</v>
      </c>
      <c r="E28" t="s">
        <v>229</v>
      </c>
      <c r="F28">
        <v>0</v>
      </c>
      <c r="G28">
        <v>5</v>
      </c>
      <c r="H28">
        <v>0</v>
      </c>
      <c r="I28">
        <f>SUM(F28:H28)</f>
        <v>5</v>
      </c>
    </row>
    <row r="29" spans="1:9" x14ac:dyDescent="0.25">
      <c r="A29" t="s">
        <v>27</v>
      </c>
      <c r="B29" t="s">
        <v>77</v>
      </c>
      <c r="C29" t="s">
        <v>230</v>
      </c>
      <c r="D29" t="s">
        <v>231</v>
      </c>
      <c r="E29" t="s">
        <v>232</v>
      </c>
      <c r="F29">
        <v>8</v>
      </c>
      <c r="G29">
        <v>0</v>
      </c>
      <c r="H29">
        <v>23</v>
      </c>
      <c r="I29">
        <f>SUM(F29:H29)</f>
        <v>31</v>
      </c>
    </row>
    <row r="30" spans="1:9" x14ac:dyDescent="0.25">
      <c r="A30" t="s">
        <v>18</v>
      </c>
      <c r="B30" t="s">
        <v>67</v>
      </c>
      <c r="C30" t="s">
        <v>209</v>
      </c>
      <c r="D30" t="s">
        <v>210</v>
      </c>
      <c r="E30" t="s">
        <v>211</v>
      </c>
      <c r="F30">
        <v>30</v>
      </c>
      <c r="G30">
        <v>10</v>
      </c>
      <c r="H30">
        <v>30</v>
      </c>
      <c r="I30">
        <f>SUM(F30:H30)</f>
        <v>70</v>
      </c>
    </row>
    <row r="31" spans="1:9" x14ac:dyDescent="0.25">
      <c r="A31" t="s">
        <v>25</v>
      </c>
      <c r="B31" t="s">
        <v>131</v>
      </c>
      <c r="C31" t="s">
        <v>224</v>
      </c>
    </row>
    <row r="32" spans="1:9" x14ac:dyDescent="0.25">
      <c r="A32" t="s">
        <v>26</v>
      </c>
      <c r="B32" t="s">
        <v>75</v>
      </c>
      <c r="C32" t="s">
        <v>227</v>
      </c>
      <c r="D32" t="s">
        <v>228</v>
      </c>
      <c r="E32" t="s">
        <v>229</v>
      </c>
      <c r="F32">
        <v>6</v>
      </c>
      <c r="G32">
        <v>5</v>
      </c>
      <c r="H32">
        <v>0</v>
      </c>
      <c r="I32">
        <f>SUM(F32:H32)</f>
        <v>11</v>
      </c>
    </row>
    <row r="33" spans="1:9" x14ac:dyDescent="0.25">
      <c r="A33" t="s">
        <v>10</v>
      </c>
      <c r="B33" t="s">
        <v>114</v>
      </c>
      <c r="C33" t="s">
        <v>188</v>
      </c>
    </row>
    <row r="34" spans="1:9" x14ac:dyDescent="0.25">
      <c r="A34" t="s">
        <v>8</v>
      </c>
      <c r="B34" t="s">
        <v>112</v>
      </c>
      <c r="C34" t="s">
        <v>184</v>
      </c>
    </row>
    <row r="35" spans="1:9" x14ac:dyDescent="0.25">
      <c r="A35" t="s">
        <v>42</v>
      </c>
      <c r="B35" t="s">
        <v>99</v>
      </c>
      <c r="C35" t="s">
        <v>279</v>
      </c>
      <c r="D35" t="s">
        <v>280</v>
      </c>
      <c r="E35" t="s">
        <v>281</v>
      </c>
      <c r="F35">
        <v>30</v>
      </c>
      <c r="G35">
        <v>0</v>
      </c>
      <c r="H35">
        <v>29</v>
      </c>
      <c r="I35">
        <f>SUM(F35:H35)</f>
        <v>59</v>
      </c>
    </row>
    <row r="36" spans="1:9" x14ac:dyDescent="0.25">
      <c r="A36" t="s">
        <v>8</v>
      </c>
      <c r="B36" t="s">
        <v>55</v>
      </c>
      <c r="C36" t="s">
        <v>184</v>
      </c>
      <c r="D36" t="s">
        <v>185</v>
      </c>
      <c r="E36" t="s">
        <v>186</v>
      </c>
      <c r="F36">
        <v>0</v>
      </c>
      <c r="G36">
        <v>0</v>
      </c>
      <c r="H36">
        <v>0</v>
      </c>
      <c r="I36">
        <f>SUM(F36:H36)</f>
        <v>0</v>
      </c>
    </row>
    <row r="37" spans="1:9" x14ac:dyDescent="0.25">
      <c r="A37" t="s">
        <v>43</v>
      </c>
      <c r="B37" t="s">
        <v>156</v>
      </c>
      <c r="C37" t="s">
        <v>276</v>
      </c>
    </row>
    <row r="38" spans="1:9" x14ac:dyDescent="0.25">
      <c r="A38" t="s">
        <v>26</v>
      </c>
      <c r="B38" t="s">
        <v>138</v>
      </c>
      <c r="C38" t="s">
        <v>227</v>
      </c>
    </row>
    <row r="39" spans="1:9" x14ac:dyDescent="0.25">
      <c r="A39" t="s">
        <v>36</v>
      </c>
      <c r="B39" t="s">
        <v>91</v>
      </c>
      <c r="C39" t="s">
        <v>263</v>
      </c>
      <c r="D39" t="s">
        <v>261</v>
      </c>
      <c r="E39" t="s">
        <v>264</v>
      </c>
      <c r="F39">
        <v>30</v>
      </c>
      <c r="G39">
        <v>17</v>
      </c>
      <c r="H39">
        <v>23</v>
      </c>
      <c r="I39">
        <f>SUM(F39:H39)</f>
        <v>70</v>
      </c>
    </row>
    <row r="40" spans="1:9" x14ac:dyDescent="0.25">
      <c r="A40" t="s">
        <v>26</v>
      </c>
      <c r="B40" t="s">
        <v>81</v>
      </c>
      <c r="C40" t="s">
        <v>227</v>
      </c>
      <c r="D40" t="s">
        <v>228</v>
      </c>
      <c r="E40" t="s">
        <v>229</v>
      </c>
      <c r="F40">
        <v>0</v>
      </c>
      <c r="G40">
        <v>0</v>
      </c>
      <c r="H40">
        <v>0</v>
      </c>
      <c r="I40">
        <f>SUM(F40:H40)</f>
        <v>0</v>
      </c>
    </row>
    <row r="41" spans="1:9" x14ac:dyDescent="0.25">
      <c r="A41" t="s">
        <v>34</v>
      </c>
      <c r="B41" t="s">
        <v>147</v>
      </c>
      <c r="C41" t="s">
        <v>254</v>
      </c>
    </row>
    <row r="42" spans="1:9" x14ac:dyDescent="0.25">
      <c r="A42" t="s">
        <v>25</v>
      </c>
      <c r="B42" t="s">
        <v>136</v>
      </c>
      <c r="C42" t="s">
        <v>224</v>
      </c>
    </row>
    <row r="43" spans="1:9" x14ac:dyDescent="0.25">
      <c r="A43" t="s">
        <v>22</v>
      </c>
      <c r="B43" t="s">
        <v>66</v>
      </c>
      <c r="C43" t="s">
        <v>206</v>
      </c>
      <c r="D43" t="s">
        <v>207</v>
      </c>
      <c r="E43" t="s">
        <v>208</v>
      </c>
      <c r="F43">
        <v>0</v>
      </c>
      <c r="G43">
        <v>0</v>
      </c>
      <c r="H43">
        <v>0</v>
      </c>
      <c r="I43">
        <f>SUM(F43:H43)</f>
        <v>0</v>
      </c>
    </row>
    <row r="44" spans="1:9" x14ac:dyDescent="0.25">
      <c r="A44" t="s">
        <v>22</v>
      </c>
      <c r="B44" t="s">
        <v>123</v>
      </c>
      <c r="C44" t="s">
        <v>206</v>
      </c>
    </row>
    <row r="45" spans="1:9" x14ac:dyDescent="0.25">
      <c r="A45" t="s">
        <v>22</v>
      </c>
      <c r="B45" t="s">
        <v>128</v>
      </c>
      <c r="C45" t="s">
        <v>218</v>
      </c>
    </row>
    <row r="46" spans="1:9" x14ac:dyDescent="0.25">
      <c r="A46" s="3" t="s">
        <v>19</v>
      </c>
      <c r="B46" s="2" t="s">
        <v>61</v>
      </c>
      <c r="C46" s="2" t="s">
        <v>191</v>
      </c>
      <c r="D46" s="2" t="s">
        <v>197</v>
      </c>
      <c r="E46" s="2" t="s">
        <v>198</v>
      </c>
      <c r="F46" s="2">
        <v>30</v>
      </c>
      <c r="G46" s="2">
        <v>0</v>
      </c>
      <c r="H46" s="2">
        <v>0</v>
      </c>
      <c r="I46">
        <f>SUM(F46:H46)</f>
        <v>30</v>
      </c>
    </row>
    <row r="47" spans="1:9" x14ac:dyDescent="0.25">
      <c r="A47" s="2" t="s">
        <v>37</v>
      </c>
      <c r="B47" s="2" t="s">
        <v>151</v>
      </c>
      <c r="C47" s="2" t="s">
        <v>265</v>
      </c>
    </row>
    <row r="48" spans="1:9" s="2" customFormat="1" x14ac:dyDescent="0.25">
      <c r="A48" t="s">
        <v>30</v>
      </c>
      <c r="B48" t="s">
        <v>83</v>
      </c>
      <c r="C48" t="s">
        <v>239</v>
      </c>
      <c r="D48" t="s">
        <v>240</v>
      </c>
      <c r="E48" t="s">
        <v>241</v>
      </c>
      <c r="F48">
        <v>30</v>
      </c>
      <c r="G48">
        <v>0</v>
      </c>
      <c r="H48">
        <v>22</v>
      </c>
      <c r="I48">
        <f>SUM(F48:H48)</f>
        <v>52</v>
      </c>
    </row>
    <row r="49" spans="1:9" x14ac:dyDescent="0.25">
      <c r="A49" t="s">
        <v>43</v>
      </c>
      <c r="B49" t="s">
        <v>97</v>
      </c>
      <c r="C49" t="s">
        <v>276</v>
      </c>
      <c r="D49" t="s">
        <v>277</v>
      </c>
      <c r="E49" t="s">
        <v>278</v>
      </c>
      <c r="F49">
        <v>0</v>
      </c>
      <c r="G49">
        <v>0</v>
      </c>
      <c r="H49">
        <v>0</v>
      </c>
      <c r="I49">
        <f>SUM(F49:H49)</f>
        <v>0</v>
      </c>
    </row>
    <row r="50" spans="1:9" x14ac:dyDescent="0.25">
      <c r="A50" t="s">
        <v>10</v>
      </c>
      <c r="B50" t="s">
        <v>57</v>
      </c>
      <c r="C50" t="s">
        <v>188</v>
      </c>
      <c r="D50" t="s">
        <v>189</v>
      </c>
      <c r="E50" t="s">
        <v>190</v>
      </c>
      <c r="F50">
        <v>30</v>
      </c>
      <c r="G50">
        <v>15</v>
      </c>
      <c r="H50">
        <v>27</v>
      </c>
      <c r="I50">
        <f>SUM(F50:H50)</f>
        <v>72</v>
      </c>
    </row>
    <row r="51" spans="1:9" x14ac:dyDescent="0.25">
      <c r="A51" t="s">
        <v>22</v>
      </c>
      <c r="B51" t="s">
        <v>71</v>
      </c>
      <c r="C51" t="s">
        <v>218</v>
      </c>
      <c r="D51" t="s">
        <v>219</v>
      </c>
      <c r="E51" t="s">
        <v>220</v>
      </c>
      <c r="F51">
        <v>30</v>
      </c>
      <c r="G51">
        <v>15</v>
      </c>
      <c r="H51">
        <v>16</v>
      </c>
      <c r="I51">
        <f>SUM(F51:H51)</f>
        <v>61</v>
      </c>
    </row>
    <row r="52" spans="1:9" x14ac:dyDescent="0.25">
      <c r="A52" t="s">
        <v>25</v>
      </c>
      <c r="B52" t="s">
        <v>74</v>
      </c>
      <c r="C52" t="s">
        <v>224</v>
      </c>
      <c r="D52" t="s">
        <v>225</v>
      </c>
      <c r="E52" t="s">
        <v>226</v>
      </c>
      <c r="F52">
        <v>0</v>
      </c>
      <c r="G52">
        <v>0</v>
      </c>
      <c r="H52">
        <v>0</v>
      </c>
      <c r="I52">
        <f>SUM(F52:H52)</f>
        <v>0</v>
      </c>
    </row>
    <row r="53" spans="1:9" x14ac:dyDescent="0.25">
      <c r="A53" s="3" t="s">
        <v>28</v>
      </c>
      <c r="B53" t="s">
        <v>146</v>
      </c>
      <c r="C53" t="s">
        <v>251</v>
      </c>
    </row>
    <row r="54" spans="1:9" x14ac:dyDescent="0.25">
      <c r="A54" t="s">
        <v>38</v>
      </c>
      <c r="B54" t="s">
        <v>93</v>
      </c>
      <c r="C54" t="s">
        <v>268</v>
      </c>
      <c r="D54" t="s">
        <v>269</v>
      </c>
      <c r="E54" t="s">
        <v>270</v>
      </c>
      <c r="F54">
        <v>16</v>
      </c>
      <c r="G54">
        <v>10</v>
      </c>
      <c r="H54">
        <v>0</v>
      </c>
      <c r="I54">
        <f>SUM(F54:H54)</f>
        <v>26</v>
      </c>
    </row>
    <row r="55" spans="1:9" x14ac:dyDescent="0.25">
      <c r="A55" t="s">
        <v>18</v>
      </c>
      <c r="B55" t="s">
        <v>124</v>
      </c>
      <c r="C55" t="s">
        <v>209</v>
      </c>
    </row>
    <row r="56" spans="1:9" x14ac:dyDescent="0.25">
      <c r="A56" t="s">
        <v>26</v>
      </c>
      <c r="B56" t="s">
        <v>137</v>
      </c>
      <c r="C56" t="s">
        <v>227</v>
      </c>
    </row>
    <row r="57" spans="1:9" x14ac:dyDescent="0.25">
      <c r="A57" t="s">
        <v>16</v>
      </c>
      <c r="B57" t="s">
        <v>65</v>
      </c>
      <c r="C57" t="s">
        <v>203</v>
      </c>
      <c r="D57" t="s">
        <v>204</v>
      </c>
      <c r="E57" t="s">
        <v>205</v>
      </c>
      <c r="F57">
        <v>0</v>
      </c>
      <c r="G57">
        <v>0</v>
      </c>
      <c r="H57">
        <v>0</v>
      </c>
      <c r="I57">
        <f>SUM(F57:H57)</f>
        <v>0</v>
      </c>
    </row>
    <row r="58" spans="1:9" x14ac:dyDescent="0.25">
      <c r="A58" t="s">
        <v>2</v>
      </c>
      <c r="B58" t="s">
        <v>47</v>
      </c>
      <c r="C58" t="s">
        <v>165</v>
      </c>
      <c r="D58" t="s">
        <v>166</v>
      </c>
      <c r="E58" t="s">
        <v>168</v>
      </c>
      <c r="F58">
        <v>30</v>
      </c>
      <c r="G58">
        <v>1</v>
      </c>
      <c r="H58">
        <v>24</v>
      </c>
      <c r="I58">
        <f>SUM(F58:H58)</f>
        <v>55</v>
      </c>
    </row>
    <row r="59" spans="1:9" x14ac:dyDescent="0.25">
      <c r="A59" t="s">
        <v>294</v>
      </c>
      <c r="B59" t="s">
        <v>52</v>
      </c>
      <c r="C59" t="s">
        <v>178</v>
      </c>
      <c r="D59" t="s">
        <v>179</v>
      </c>
      <c r="E59" t="s">
        <v>180</v>
      </c>
      <c r="F59">
        <v>0</v>
      </c>
      <c r="G59">
        <v>0</v>
      </c>
      <c r="H59">
        <v>0</v>
      </c>
      <c r="I59">
        <f>SUM(F59:H59)</f>
        <v>0</v>
      </c>
    </row>
    <row r="60" spans="1:9" x14ac:dyDescent="0.25">
      <c r="A60" t="s">
        <v>36</v>
      </c>
      <c r="B60" t="s">
        <v>90</v>
      </c>
      <c r="C60" t="s">
        <v>260</v>
      </c>
      <c r="D60" t="s">
        <v>261</v>
      </c>
      <c r="E60" t="s">
        <v>262</v>
      </c>
      <c r="F60">
        <v>0</v>
      </c>
      <c r="G60">
        <v>0</v>
      </c>
      <c r="H60">
        <v>0</v>
      </c>
      <c r="I60">
        <f>SUM(F60:H60)</f>
        <v>0</v>
      </c>
    </row>
    <row r="61" spans="1:9" x14ac:dyDescent="0.25">
      <c r="A61" t="s">
        <v>31</v>
      </c>
      <c r="B61" t="s">
        <v>48</v>
      </c>
      <c r="C61" t="s">
        <v>169</v>
      </c>
      <c r="D61" t="s">
        <v>170</v>
      </c>
      <c r="E61" t="s">
        <v>171</v>
      </c>
      <c r="F61">
        <v>30</v>
      </c>
      <c r="G61">
        <v>5</v>
      </c>
      <c r="H61">
        <v>27</v>
      </c>
      <c r="I61">
        <f>SUM(F61:H61)</f>
        <v>62</v>
      </c>
    </row>
    <row r="62" spans="1:9" x14ac:dyDescent="0.25">
      <c r="A62" t="s">
        <v>8</v>
      </c>
      <c r="B62" t="s">
        <v>111</v>
      </c>
      <c r="C62" t="s">
        <v>184</v>
      </c>
    </row>
    <row r="63" spans="1:9" x14ac:dyDescent="0.25">
      <c r="A63" t="s">
        <v>40</v>
      </c>
      <c r="B63" t="s">
        <v>155</v>
      </c>
      <c r="C63" t="s">
        <v>273</v>
      </c>
    </row>
    <row r="64" spans="1:9" x14ac:dyDescent="0.25">
      <c r="A64" t="s">
        <v>20</v>
      </c>
      <c r="B64" t="s">
        <v>69</v>
      </c>
      <c r="C64" t="s">
        <v>212</v>
      </c>
      <c r="D64" t="s">
        <v>213</v>
      </c>
      <c r="E64" t="s">
        <v>214</v>
      </c>
      <c r="F64">
        <v>30</v>
      </c>
      <c r="G64">
        <v>0</v>
      </c>
      <c r="H64">
        <v>17</v>
      </c>
      <c r="I64">
        <f>SUM(F64:H64)</f>
        <v>47</v>
      </c>
    </row>
    <row r="65" spans="1:9" x14ac:dyDescent="0.25">
      <c r="A65" t="s">
        <v>44</v>
      </c>
      <c r="B65" t="s">
        <v>102</v>
      </c>
      <c r="C65" t="s">
        <v>282</v>
      </c>
      <c r="D65" t="s">
        <v>283</v>
      </c>
      <c r="E65" t="s">
        <v>284</v>
      </c>
      <c r="F65">
        <v>0</v>
      </c>
      <c r="G65">
        <v>5</v>
      </c>
      <c r="H65">
        <v>0</v>
      </c>
      <c r="I65">
        <f>SUM(F65:H65)</f>
        <v>5</v>
      </c>
    </row>
    <row r="66" spans="1:9" x14ac:dyDescent="0.25">
      <c r="A66" s="3" t="s">
        <v>28</v>
      </c>
      <c r="B66" t="s">
        <v>288</v>
      </c>
      <c r="C66" t="s">
        <v>251</v>
      </c>
      <c r="D66" t="s">
        <v>252</v>
      </c>
      <c r="E66" t="s">
        <v>253</v>
      </c>
      <c r="F66">
        <v>22</v>
      </c>
      <c r="G66">
        <v>0</v>
      </c>
      <c r="H66">
        <v>3</v>
      </c>
      <c r="I66">
        <f>SUM(F66:H66)</f>
        <v>25</v>
      </c>
    </row>
    <row r="67" spans="1:9" x14ac:dyDescent="0.25">
      <c r="A67" t="s">
        <v>10</v>
      </c>
      <c r="B67" t="s">
        <v>58</v>
      </c>
      <c r="C67" t="s">
        <v>188</v>
      </c>
      <c r="D67" t="s">
        <v>189</v>
      </c>
      <c r="E67" t="s">
        <v>190</v>
      </c>
      <c r="F67">
        <v>16</v>
      </c>
      <c r="G67">
        <v>15</v>
      </c>
      <c r="H67">
        <v>0</v>
      </c>
      <c r="I67">
        <f>SUM(F67:H67)</f>
        <v>31</v>
      </c>
    </row>
    <row r="68" spans="1:9" x14ac:dyDescent="0.25">
      <c r="A68" t="s">
        <v>42</v>
      </c>
      <c r="B68" t="s">
        <v>158</v>
      </c>
      <c r="C68" t="s">
        <v>279</v>
      </c>
    </row>
    <row r="69" spans="1:9" x14ac:dyDescent="0.25">
      <c r="A69" t="s">
        <v>39</v>
      </c>
      <c r="B69" t="s">
        <v>94</v>
      </c>
      <c r="C69" t="s">
        <v>271</v>
      </c>
      <c r="D69" t="s">
        <v>39</v>
      </c>
      <c r="E69" t="s">
        <v>272</v>
      </c>
      <c r="F69">
        <v>12</v>
      </c>
      <c r="G69">
        <v>7</v>
      </c>
      <c r="H69">
        <v>0</v>
      </c>
      <c r="I69">
        <f>SUM(F69:H69)</f>
        <v>19</v>
      </c>
    </row>
    <row r="70" spans="1:9" x14ac:dyDescent="0.25">
      <c r="A70" s="3" t="s">
        <v>5</v>
      </c>
      <c r="B70" t="s">
        <v>50</v>
      </c>
      <c r="C70" t="s">
        <v>175</v>
      </c>
      <c r="D70" t="s">
        <v>176</v>
      </c>
      <c r="E70" t="s">
        <v>177</v>
      </c>
      <c r="F70">
        <v>30</v>
      </c>
      <c r="G70">
        <v>15</v>
      </c>
      <c r="H70">
        <v>22</v>
      </c>
      <c r="I70">
        <f>SUM(F70:H70)</f>
        <v>67</v>
      </c>
    </row>
    <row r="71" spans="1:9" x14ac:dyDescent="0.25">
      <c r="A71" t="s">
        <v>40</v>
      </c>
      <c r="B71" t="s">
        <v>96</v>
      </c>
      <c r="C71" t="s">
        <v>273</v>
      </c>
      <c r="D71" t="s">
        <v>274</v>
      </c>
      <c r="E71" t="s">
        <v>275</v>
      </c>
      <c r="F71">
        <v>10</v>
      </c>
      <c r="G71">
        <v>0</v>
      </c>
      <c r="H71">
        <v>0</v>
      </c>
      <c r="I71">
        <f>SUM(F71:H71)</f>
        <v>10</v>
      </c>
    </row>
    <row r="72" spans="1:9" x14ac:dyDescent="0.25">
      <c r="A72" t="s">
        <v>24</v>
      </c>
      <c r="B72" t="s">
        <v>130</v>
      </c>
      <c r="C72" t="s">
        <v>203</v>
      </c>
    </row>
    <row r="73" spans="1:9" x14ac:dyDescent="0.25">
      <c r="A73" t="s">
        <v>294</v>
      </c>
      <c r="B73" t="s">
        <v>295</v>
      </c>
      <c r="C73" t="s">
        <v>178</v>
      </c>
      <c r="D73" t="s">
        <v>179</v>
      </c>
      <c r="E73" t="s">
        <v>187</v>
      </c>
      <c r="F73">
        <v>30</v>
      </c>
      <c r="G73">
        <v>0</v>
      </c>
      <c r="H73">
        <v>22</v>
      </c>
      <c r="I73">
        <f>SUM(F73:H73)</f>
        <v>52</v>
      </c>
    </row>
    <row r="74" spans="1:9" x14ac:dyDescent="0.25">
      <c r="A74" t="s">
        <v>43</v>
      </c>
      <c r="B74" t="s">
        <v>160</v>
      </c>
      <c r="C74" t="s">
        <v>282</v>
      </c>
    </row>
    <row r="75" spans="1:9" x14ac:dyDescent="0.25">
      <c r="A75" t="s">
        <v>3</v>
      </c>
      <c r="B75" t="s">
        <v>106</v>
      </c>
      <c r="C75" t="s">
        <v>172</v>
      </c>
    </row>
    <row r="76" spans="1:9" x14ac:dyDescent="0.25">
      <c r="A76" t="s">
        <v>10</v>
      </c>
      <c r="B76" t="s">
        <v>115</v>
      </c>
      <c r="C76" t="s">
        <v>188</v>
      </c>
    </row>
    <row r="77" spans="1:9" x14ac:dyDescent="0.25">
      <c r="A77" t="s">
        <v>7</v>
      </c>
      <c r="B77" t="s">
        <v>53</v>
      </c>
      <c r="C77" t="s">
        <v>181</v>
      </c>
      <c r="D77" t="s">
        <v>182</v>
      </c>
      <c r="E77" t="s">
        <v>183</v>
      </c>
      <c r="F77">
        <v>0</v>
      </c>
      <c r="G77">
        <v>0</v>
      </c>
      <c r="H77">
        <v>0</v>
      </c>
      <c r="I77">
        <f>SUM(F77:H77)</f>
        <v>0</v>
      </c>
    </row>
    <row r="78" spans="1:9" x14ac:dyDescent="0.25">
      <c r="A78" s="3" t="s">
        <v>19</v>
      </c>
      <c r="B78" t="s">
        <v>68</v>
      </c>
      <c r="C78" t="s">
        <v>191</v>
      </c>
      <c r="D78" t="s">
        <v>197</v>
      </c>
      <c r="E78" t="s">
        <v>193</v>
      </c>
      <c r="F78">
        <v>30</v>
      </c>
      <c r="G78">
        <v>12</v>
      </c>
      <c r="H78">
        <v>23</v>
      </c>
      <c r="I78">
        <f>SUM(F78:H78)</f>
        <v>65</v>
      </c>
    </row>
    <row r="79" spans="1:9" x14ac:dyDescent="0.25">
      <c r="A79" t="s">
        <v>34</v>
      </c>
      <c r="B79" t="s">
        <v>88</v>
      </c>
      <c r="C79" t="s">
        <v>254</v>
      </c>
      <c r="D79" t="s">
        <v>255</v>
      </c>
      <c r="E79" t="s">
        <v>256</v>
      </c>
      <c r="F79">
        <v>0</v>
      </c>
      <c r="G79">
        <v>0</v>
      </c>
      <c r="H79">
        <v>0</v>
      </c>
      <c r="I79">
        <f>SUM(F79:H79)</f>
        <v>0</v>
      </c>
    </row>
    <row r="80" spans="1:9" x14ac:dyDescent="0.25">
      <c r="A80" t="s">
        <v>32</v>
      </c>
      <c r="B80" t="s">
        <v>85</v>
      </c>
      <c r="C80" t="s">
        <v>245</v>
      </c>
      <c r="D80" t="s">
        <v>246</v>
      </c>
      <c r="E80" t="s">
        <v>247</v>
      </c>
      <c r="F80">
        <v>30</v>
      </c>
      <c r="G80">
        <v>0</v>
      </c>
      <c r="H80">
        <v>0</v>
      </c>
      <c r="I80">
        <f>SUM(F80:H80)</f>
        <v>30</v>
      </c>
    </row>
    <row r="81" spans="1:9" x14ac:dyDescent="0.25">
      <c r="A81" t="s">
        <v>35</v>
      </c>
      <c r="B81" t="s">
        <v>148</v>
      </c>
      <c r="C81" t="s">
        <v>257</v>
      </c>
    </row>
    <row r="82" spans="1:9" x14ac:dyDescent="0.25">
      <c r="A82" t="s">
        <v>43</v>
      </c>
      <c r="B82" t="s">
        <v>159</v>
      </c>
      <c r="C82" t="s">
        <v>282</v>
      </c>
    </row>
    <row r="83" spans="1:9" x14ac:dyDescent="0.25">
      <c r="A83" t="s">
        <v>16</v>
      </c>
      <c r="B83" t="s">
        <v>122</v>
      </c>
      <c r="C83" t="s">
        <v>203</v>
      </c>
    </row>
    <row r="84" spans="1:9" x14ac:dyDescent="0.25">
      <c r="A84" t="s">
        <v>294</v>
      </c>
      <c r="B84" t="s">
        <v>109</v>
      </c>
      <c r="C84" t="s">
        <v>178</v>
      </c>
    </row>
    <row r="85" spans="1:9" x14ac:dyDescent="0.25">
      <c r="A85" t="s">
        <v>16</v>
      </c>
      <c r="B85" t="s">
        <v>121</v>
      </c>
      <c r="C85" t="s">
        <v>203</v>
      </c>
    </row>
    <row r="86" spans="1:9" x14ac:dyDescent="0.25">
      <c r="A86" t="s">
        <v>15</v>
      </c>
      <c r="B86" t="s">
        <v>63</v>
      </c>
      <c r="C86" t="s">
        <v>200</v>
      </c>
      <c r="D86" t="s">
        <v>201</v>
      </c>
      <c r="E86" t="s">
        <v>202</v>
      </c>
      <c r="F86">
        <v>30</v>
      </c>
      <c r="G86">
        <v>0</v>
      </c>
      <c r="H86">
        <v>0</v>
      </c>
      <c r="I86">
        <f>SUM(F86:H86)</f>
        <v>30</v>
      </c>
    </row>
    <row r="87" spans="1:9" x14ac:dyDescent="0.25">
      <c r="A87" t="s">
        <v>26</v>
      </c>
      <c r="B87" t="s">
        <v>133</v>
      </c>
      <c r="C87" t="s">
        <v>227</v>
      </c>
    </row>
    <row r="88" spans="1:9" x14ac:dyDescent="0.25">
      <c r="A88" t="s">
        <v>26</v>
      </c>
      <c r="B88" t="s">
        <v>80</v>
      </c>
      <c r="C88" t="s">
        <v>227</v>
      </c>
      <c r="D88" t="s">
        <v>228</v>
      </c>
      <c r="E88" t="s">
        <v>229</v>
      </c>
      <c r="F88">
        <v>12</v>
      </c>
      <c r="G88">
        <v>10</v>
      </c>
      <c r="H88">
        <v>0</v>
      </c>
      <c r="I88">
        <f>SUM(F88:H88)</f>
        <v>22</v>
      </c>
    </row>
    <row r="89" spans="1:9" x14ac:dyDescent="0.25">
      <c r="A89" t="s">
        <v>30</v>
      </c>
      <c r="B89" t="s">
        <v>140</v>
      </c>
      <c r="C89" t="s">
        <v>239</v>
      </c>
    </row>
    <row r="90" spans="1:9" x14ac:dyDescent="0.25">
      <c r="A90" t="s">
        <v>297</v>
      </c>
      <c r="B90" t="s">
        <v>298</v>
      </c>
      <c r="F90">
        <v>6</v>
      </c>
      <c r="G90">
        <v>0</v>
      </c>
      <c r="H90">
        <v>0</v>
      </c>
      <c r="I90">
        <f>SUM(F90:H90)</f>
        <v>6</v>
      </c>
    </row>
    <row r="91" spans="1:9" x14ac:dyDescent="0.25">
      <c r="A91" t="s">
        <v>39</v>
      </c>
      <c r="B91" t="s">
        <v>153</v>
      </c>
      <c r="C91" t="s">
        <v>271</v>
      </c>
    </row>
    <row r="92" spans="1:9" x14ac:dyDescent="0.25">
      <c r="A92" t="s">
        <v>292</v>
      </c>
      <c r="B92" t="s">
        <v>300</v>
      </c>
    </row>
    <row r="93" spans="1:9" x14ac:dyDescent="0.25">
      <c r="A93" t="s">
        <v>294</v>
      </c>
      <c r="B93" t="s">
        <v>56</v>
      </c>
      <c r="C93" t="s">
        <v>178</v>
      </c>
      <c r="D93" t="s">
        <v>179</v>
      </c>
      <c r="E93" t="s">
        <v>180</v>
      </c>
      <c r="F93">
        <v>0</v>
      </c>
      <c r="G93">
        <v>5</v>
      </c>
      <c r="H93">
        <v>0</v>
      </c>
      <c r="I93">
        <f>SUM(F93:H93)</f>
        <v>5</v>
      </c>
    </row>
    <row r="94" spans="1:9" x14ac:dyDescent="0.25">
      <c r="A94" t="s">
        <v>297</v>
      </c>
      <c r="B94" t="s">
        <v>299</v>
      </c>
    </row>
    <row r="95" spans="1:9" x14ac:dyDescent="0.25">
      <c r="A95" t="s">
        <v>12</v>
      </c>
      <c r="B95" t="s">
        <v>60</v>
      </c>
      <c r="C95" t="s">
        <v>194</v>
      </c>
      <c r="D95" t="s">
        <v>195</v>
      </c>
      <c r="E95" t="s">
        <v>196</v>
      </c>
      <c r="F95">
        <v>0</v>
      </c>
      <c r="G95">
        <v>0</v>
      </c>
      <c r="H95">
        <v>0</v>
      </c>
      <c r="I95">
        <f>SUM(F95:H95)</f>
        <v>0</v>
      </c>
    </row>
    <row r="96" spans="1:9" x14ac:dyDescent="0.25">
      <c r="A96" t="s">
        <v>43</v>
      </c>
      <c r="B96" t="s">
        <v>100</v>
      </c>
      <c r="C96" t="s">
        <v>282</v>
      </c>
      <c r="D96" t="s">
        <v>283</v>
      </c>
      <c r="E96" t="s">
        <v>284</v>
      </c>
      <c r="F96">
        <v>0</v>
      </c>
      <c r="G96">
        <v>0</v>
      </c>
      <c r="H96">
        <v>0</v>
      </c>
      <c r="I96">
        <f>SUM(F96:H96)</f>
        <v>0</v>
      </c>
    </row>
    <row r="97" spans="1:9" x14ac:dyDescent="0.25">
      <c r="A97" t="s">
        <v>22</v>
      </c>
      <c r="B97" s="2" t="s">
        <v>72</v>
      </c>
      <c r="C97" s="2" t="s">
        <v>221</v>
      </c>
      <c r="D97" s="2" t="s">
        <v>222</v>
      </c>
      <c r="E97" s="2" t="s">
        <v>223</v>
      </c>
      <c r="F97" s="2">
        <v>26</v>
      </c>
      <c r="G97" s="2">
        <v>0</v>
      </c>
      <c r="H97" s="2">
        <v>0</v>
      </c>
      <c r="I97">
        <f>SUM(F97:H97)</f>
        <v>26</v>
      </c>
    </row>
    <row r="98" spans="1:9" x14ac:dyDescent="0.25">
      <c r="A98" t="s">
        <v>38</v>
      </c>
      <c r="B98" t="s">
        <v>152</v>
      </c>
      <c r="C98" t="s">
        <v>268</v>
      </c>
    </row>
  </sheetData>
  <autoFilter ref="A1:I51">
    <sortState ref="A2:I103">
      <sortCondition ref="B1:B51"/>
    </sortState>
  </autoFilter>
  <pageMargins left="0.7" right="0.7" top="0.75" bottom="0.75" header="0.3" footer="0.3"/>
  <pageSetup paperSize="9" scale="69" fitToHeight="0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opLeftCell="A19" zoomScale="78" zoomScaleNormal="78" workbookViewId="0">
      <selection activeCell="D8" sqref="D8"/>
    </sheetView>
  </sheetViews>
  <sheetFormatPr defaultRowHeight="15" x14ac:dyDescent="0.25"/>
  <cols>
    <col min="1" max="1" width="56.5703125" customWidth="1"/>
    <col min="2" max="2" width="24.140625" customWidth="1"/>
    <col min="3" max="3" width="23.140625" customWidth="1"/>
    <col min="4" max="4" width="32.140625" customWidth="1"/>
    <col min="5" max="5" width="17.140625" style="10" customWidth="1"/>
    <col min="6" max="6" width="13.28515625" style="10" customWidth="1"/>
    <col min="7" max="7" width="15.5703125" style="10" customWidth="1"/>
    <col min="8" max="8" width="9.140625" style="10"/>
  </cols>
  <sheetData>
    <row r="1" spans="1:8" s="5" customFormat="1" ht="31.5" x14ac:dyDescent="0.25">
      <c r="A1" s="6" t="s">
        <v>0</v>
      </c>
      <c r="B1" s="6" t="s">
        <v>45</v>
      </c>
      <c r="C1" s="6" t="s">
        <v>103</v>
      </c>
      <c r="D1" s="6" t="s">
        <v>162</v>
      </c>
      <c r="E1" s="6" t="s">
        <v>285</v>
      </c>
      <c r="F1" s="6" t="s">
        <v>286</v>
      </c>
      <c r="G1" s="6" t="s">
        <v>287</v>
      </c>
      <c r="H1" s="6" t="s">
        <v>303</v>
      </c>
    </row>
    <row r="2" spans="1:8" s="3" customFormat="1" x14ac:dyDescent="0.25">
      <c r="A2" s="12" t="s">
        <v>11</v>
      </c>
      <c r="B2" s="3" t="s">
        <v>59</v>
      </c>
      <c r="C2" s="3" t="s">
        <v>116</v>
      </c>
      <c r="D2" s="3" t="s">
        <v>191</v>
      </c>
      <c r="E2" s="7">
        <v>30</v>
      </c>
      <c r="F2" s="7">
        <v>29</v>
      </c>
      <c r="G2" s="7">
        <v>25</v>
      </c>
      <c r="H2" s="7">
        <f t="shared" ref="H2:H33" si="0">SUM(E2:G2)</f>
        <v>84</v>
      </c>
    </row>
    <row r="3" spans="1:8" s="3" customFormat="1" x14ac:dyDescent="0.25">
      <c r="A3" s="12" t="s">
        <v>14</v>
      </c>
      <c r="B3" s="3" t="s">
        <v>62</v>
      </c>
      <c r="C3" s="3" t="s">
        <v>119</v>
      </c>
      <c r="D3" s="3" t="s">
        <v>191</v>
      </c>
      <c r="E3" s="7">
        <v>28</v>
      </c>
      <c r="F3" s="7">
        <v>25</v>
      </c>
      <c r="G3" s="7">
        <v>28</v>
      </c>
      <c r="H3" s="7">
        <f t="shared" si="0"/>
        <v>81</v>
      </c>
    </row>
    <row r="4" spans="1:8" s="3" customFormat="1" x14ac:dyDescent="0.25">
      <c r="A4" s="12" t="s">
        <v>5</v>
      </c>
      <c r="B4" s="3" t="s">
        <v>51</v>
      </c>
      <c r="C4" s="3" t="s">
        <v>108</v>
      </c>
      <c r="D4" s="3" t="s">
        <v>175</v>
      </c>
      <c r="E4" s="7">
        <v>30</v>
      </c>
      <c r="F4" s="7">
        <v>23</v>
      </c>
      <c r="G4" s="7">
        <v>27</v>
      </c>
      <c r="H4" s="7">
        <f t="shared" si="0"/>
        <v>80</v>
      </c>
    </row>
    <row r="5" spans="1:8" s="3" customFormat="1" x14ac:dyDescent="0.25">
      <c r="A5" s="12" t="s">
        <v>28</v>
      </c>
      <c r="B5" s="3" t="s">
        <v>84</v>
      </c>
      <c r="C5" s="3" t="s">
        <v>141</v>
      </c>
      <c r="D5" s="3" t="s">
        <v>242</v>
      </c>
      <c r="E5" s="7">
        <v>30</v>
      </c>
      <c r="F5" s="7">
        <v>27</v>
      </c>
      <c r="G5" s="7">
        <v>23</v>
      </c>
      <c r="H5" s="7">
        <f t="shared" si="0"/>
        <v>80</v>
      </c>
    </row>
    <row r="6" spans="1:8" s="3" customFormat="1" x14ac:dyDescent="0.25">
      <c r="A6" s="12" t="s">
        <v>33</v>
      </c>
      <c r="B6" s="3" t="s">
        <v>86</v>
      </c>
      <c r="C6" s="3" t="s">
        <v>144</v>
      </c>
      <c r="D6" s="3" t="s">
        <v>248</v>
      </c>
      <c r="E6" s="7">
        <v>30</v>
      </c>
      <c r="F6" s="7">
        <v>22</v>
      </c>
      <c r="G6" s="7">
        <v>28</v>
      </c>
      <c r="H6" s="7">
        <f t="shared" si="0"/>
        <v>80</v>
      </c>
    </row>
    <row r="7" spans="1:8" s="3" customFormat="1" x14ac:dyDescent="0.25">
      <c r="A7" s="12" t="s">
        <v>29</v>
      </c>
      <c r="B7" s="3" t="s">
        <v>82</v>
      </c>
      <c r="C7" s="3" t="s">
        <v>139</v>
      </c>
      <c r="D7" s="3" t="s">
        <v>236</v>
      </c>
      <c r="E7" s="7">
        <v>30</v>
      </c>
      <c r="F7" s="7">
        <v>29</v>
      </c>
      <c r="G7" s="7">
        <v>21</v>
      </c>
      <c r="H7" s="7">
        <f t="shared" si="0"/>
        <v>80</v>
      </c>
    </row>
    <row r="8" spans="1:8" s="3" customFormat="1" ht="30" x14ac:dyDescent="0.25">
      <c r="A8" s="12" t="s">
        <v>42</v>
      </c>
      <c r="B8" s="3" t="s">
        <v>98</v>
      </c>
      <c r="C8" s="3" t="s">
        <v>157</v>
      </c>
      <c r="D8" s="3" t="s">
        <v>279</v>
      </c>
      <c r="E8" s="7">
        <v>30</v>
      </c>
      <c r="F8" s="7">
        <v>20</v>
      </c>
      <c r="G8" s="7">
        <v>29</v>
      </c>
      <c r="H8" s="7">
        <f t="shared" si="0"/>
        <v>79</v>
      </c>
    </row>
    <row r="9" spans="1:8" s="3" customFormat="1" x14ac:dyDescent="0.25">
      <c r="A9" s="12" t="s">
        <v>19</v>
      </c>
      <c r="B9" s="3" t="s">
        <v>95</v>
      </c>
      <c r="C9" s="3" t="s">
        <v>154</v>
      </c>
      <c r="D9" s="3" t="s">
        <v>191</v>
      </c>
      <c r="E9" s="7">
        <v>30</v>
      </c>
      <c r="F9" s="7">
        <v>19</v>
      </c>
      <c r="G9" s="7">
        <v>29</v>
      </c>
      <c r="H9" s="7">
        <f t="shared" si="0"/>
        <v>78</v>
      </c>
    </row>
    <row r="10" spans="1:8" s="3" customFormat="1" x14ac:dyDescent="0.25">
      <c r="A10" s="12" t="s">
        <v>28</v>
      </c>
      <c r="B10" s="3" t="s">
        <v>78</v>
      </c>
      <c r="C10" s="3" t="s">
        <v>135</v>
      </c>
      <c r="D10" s="3" t="s">
        <v>233</v>
      </c>
      <c r="E10" s="7">
        <v>30</v>
      </c>
      <c r="F10" s="7">
        <v>25</v>
      </c>
      <c r="G10" s="7">
        <v>22</v>
      </c>
      <c r="H10" s="7">
        <f t="shared" si="0"/>
        <v>77</v>
      </c>
    </row>
    <row r="11" spans="1:8" s="3" customFormat="1" x14ac:dyDescent="0.25">
      <c r="A11" s="12" t="s">
        <v>1</v>
      </c>
      <c r="B11" s="3" t="s">
        <v>46</v>
      </c>
      <c r="C11" s="3" t="s">
        <v>104</v>
      </c>
      <c r="D11" s="3" t="s">
        <v>165</v>
      </c>
      <c r="E11" s="7">
        <v>30</v>
      </c>
      <c r="F11" s="7">
        <v>22</v>
      </c>
      <c r="G11" s="7">
        <v>23</v>
      </c>
      <c r="H11" s="7">
        <f t="shared" si="0"/>
        <v>75</v>
      </c>
    </row>
    <row r="12" spans="1:8" s="4" customFormat="1" ht="15.75" thickBot="1" x14ac:dyDescent="0.3">
      <c r="A12" s="13" t="s">
        <v>33</v>
      </c>
      <c r="B12" s="4" t="s">
        <v>87</v>
      </c>
      <c r="C12" s="4" t="s">
        <v>145</v>
      </c>
      <c r="D12" s="4" t="s">
        <v>248</v>
      </c>
      <c r="E12" s="8">
        <v>30</v>
      </c>
      <c r="F12" s="8">
        <v>23</v>
      </c>
      <c r="G12" s="8">
        <v>22</v>
      </c>
      <c r="H12" s="8">
        <f t="shared" si="0"/>
        <v>75</v>
      </c>
    </row>
    <row r="13" spans="1:8" s="3" customFormat="1" x14ac:dyDescent="0.25">
      <c r="A13" s="3" t="s">
        <v>37</v>
      </c>
      <c r="B13" s="3" t="s">
        <v>92</v>
      </c>
      <c r="C13" s="3" t="s">
        <v>151</v>
      </c>
      <c r="D13" s="3" t="s">
        <v>265</v>
      </c>
      <c r="E13" s="7">
        <v>30</v>
      </c>
      <c r="F13" s="7">
        <v>21</v>
      </c>
      <c r="G13" s="7">
        <v>22</v>
      </c>
      <c r="H13" s="7">
        <f t="shared" si="0"/>
        <v>73</v>
      </c>
    </row>
    <row r="14" spans="1:8" s="3" customFormat="1" x14ac:dyDescent="0.25">
      <c r="A14" s="3" t="s">
        <v>10</v>
      </c>
      <c r="B14" s="3" t="s">
        <v>57</v>
      </c>
      <c r="C14" s="3" t="s">
        <v>114</v>
      </c>
      <c r="D14" s="3" t="s">
        <v>188</v>
      </c>
      <c r="E14" s="7">
        <v>30</v>
      </c>
      <c r="F14" s="7">
        <v>15</v>
      </c>
      <c r="G14" s="7">
        <v>27</v>
      </c>
      <c r="H14" s="7">
        <f t="shared" si="0"/>
        <v>72</v>
      </c>
    </row>
    <row r="15" spans="1:8" s="3" customFormat="1" x14ac:dyDescent="0.25">
      <c r="A15" s="3" t="s">
        <v>18</v>
      </c>
      <c r="B15" s="3" t="s">
        <v>67</v>
      </c>
      <c r="C15" s="3" t="s">
        <v>124</v>
      </c>
      <c r="D15" s="3" t="s">
        <v>209</v>
      </c>
      <c r="E15" s="7">
        <v>30</v>
      </c>
      <c r="F15" s="7">
        <v>10</v>
      </c>
      <c r="G15" s="7">
        <v>30</v>
      </c>
      <c r="H15" s="7">
        <f t="shared" si="0"/>
        <v>70</v>
      </c>
    </row>
    <row r="16" spans="1:8" s="3" customFormat="1" x14ac:dyDescent="0.25">
      <c r="A16" s="3" t="s">
        <v>36</v>
      </c>
      <c r="B16" s="3" t="s">
        <v>91</v>
      </c>
      <c r="C16" s="3" t="s">
        <v>150</v>
      </c>
      <c r="D16" s="3" t="s">
        <v>263</v>
      </c>
      <c r="E16" s="7">
        <v>30</v>
      </c>
      <c r="F16" s="7">
        <v>17</v>
      </c>
      <c r="G16" s="7">
        <v>23</v>
      </c>
      <c r="H16" s="7">
        <f t="shared" si="0"/>
        <v>70</v>
      </c>
    </row>
    <row r="17" spans="1:8" s="3" customFormat="1" x14ac:dyDescent="0.25">
      <c r="A17" s="3" t="s">
        <v>4</v>
      </c>
      <c r="B17" s="3" t="s">
        <v>50</v>
      </c>
      <c r="C17" s="3" t="s">
        <v>107</v>
      </c>
      <c r="D17" s="3" t="s">
        <v>175</v>
      </c>
      <c r="E17" s="7">
        <v>30</v>
      </c>
      <c r="F17" s="7">
        <v>15</v>
      </c>
      <c r="G17" s="7">
        <v>22</v>
      </c>
      <c r="H17" s="7">
        <f t="shared" si="0"/>
        <v>67</v>
      </c>
    </row>
    <row r="18" spans="1:8" s="3" customFormat="1" x14ac:dyDescent="0.25">
      <c r="A18" s="3" t="s">
        <v>19</v>
      </c>
      <c r="B18" s="3" t="s">
        <v>68</v>
      </c>
      <c r="C18" s="3" t="s">
        <v>125</v>
      </c>
      <c r="D18" s="3" t="s">
        <v>191</v>
      </c>
      <c r="E18" s="7">
        <v>30</v>
      </c>
      <c r="F18" s="7">
        <v>12</v>
      </c>
      <c r="G18" s="7">
        <v>23</v>
      </c>
      <c r="H18" s="7">
        <f t="shared" si="0"/>
        <v>65</v>
      </c>
    </row>
    <row r="19" spans="1:8" s="3" customFormat="1" x14ac:dyDescent="0.25">
      <c r="A19" s="3" t="s">
        <v>3</v>
      </c>
      <c r="B19" s="3" t="s">
        <v>49</v>
      </c>
      <c r="C19" s="3" t="s">
        <v>106</v>
      </c>
      <c r="D19" s="3" t="s">
        <v>172</v>
      </c>
      <c r="E19" s="9">
        <v>30</v>
      </c>
      <c r="F19" s="7">
        <v>10</v>
      </c>
      <c r="G19" s="7">
        <v>22</v>
      </c>
      <c r="H19" s="7">
        <f t="shared" si="0"/>
        <v>62</v>
      </c>
    </row>
    <row r="20" spans="1:8" s="3" customFormat="1" x14ac:dyDescent="0.25">
      <c r="A20" s="3" t="s">
        <v>31</v>
      </c>
      <c r="B20" s="3" t="s">
        <v>48</v>
      </c>
      <c r="C20" s="3" t="s">
        <v>142</v>
      </c>
      <c r="D20" s="3" t="s">
        <v>169</v>
      </c>
      <c r="E20" s="7">
        <v>30</v>
      </c>
      <c r="F20" s="7">
        <v>5</v>
      </c>
      <c r="G20" s="7">
        <v>27</v>
      </c>
      <c r="H20" s="7">
        <f t="shared" si="0"/>
        <v>62</v>
      </c>
    </row>
    <row r="21" spans="1:8" s="3" customFormat="1" x14ac:dyDescent="0.25">
      <c r="A21" s="3" t="s">
        <v>22</v>
      </c>
      <c r="B21" s="3" t="s">
        <v>71</v>
      </c>
      <c r="C21" s="3" t="s">
        <v>128</v>
      </c>
      <c r="D21" s="3" t="s">
        <v>218</v>
      </c>
      <c r="E21" s="7">
        <v>30</v>
      </c>
      <c r="F21" s="7">
        <v>15</v>
      </c>
      <c r="G21" s="7">
        <v>16</v>
      </c>
      <c r="H21" s="7">
        <f t="shared" si="0"/>
        <v>61</v>
      </c>
    </row>
    <row r="22" spans="1:8" s="3" customFormat="1" x14ac:dyDescent="0.25">
      <c r="A22" s="3" t="s">
        <v>42</v>
      </c>
      <c r="B22" s="3" t="s">
        <v>99</v>
      </c>
      <c r="C22" s="3" t="s">
        <v>158</v>
      </c>
      <c r="D22" s="3" t="s">
        <v>279</v>
      </c>
      <c r="E22" s="7">
        <v>30</v>
      </c>
      <c r="F22" s="7">
        <v>0</v>
      </c>
      <c r="G22" s="7">
        <v>29</v>
      </c>
      <c r="H22" s="7">
        <f t="shared" si="0"/>
        <v>59</v>
      </c>
    </row>
    <row r="23" spans="1:8" s="3" customFormat="1" x14ac:dyDescent="0.25">
      <c r="A23" s="3" t="s">
        <v>2</v>
      </c>
      <c r="B23" s="3" t="s">
        <v>47</v>
      </c>
      <c r="C23" s="3" t="s">
        <v>105</v>
      </c>
      <c r="D23" s="3" t="s">
        <v>165</v>
      </c>
      <c r="E23" s="7">
        <v>30</v>
      </c>
      <c r="F23" s="7">
        <v>1</v>
      </c>
      <c r="G23" s="7">
        <v>24</v>
      </c>
      <c r="H23" s="7">
        <f t="shared" si="0"/>
        <v>55</v>
      </c>
    </row>
    <row r="24" spans="1:8" s="3" customFormat="1" x14ac:dyDescent="0.25">
      <c r="A24" s="3" t="s">
        <v>21</v>
      </c>
      <c r="B24" s="3" t="s">
        <v>70</v>
      </c>
      <c r="C24" s="3" t="s">
        <v>127</v>
      </c>
      <c r="D24" s="3" t="s">
        <v>215</v>
      </c>
      <c r="E24" s="7">
        <v>16</v>
      </c>
      <c r="F24" s="7">
        <v>10</v>
      </c>
      <c r="G24" s="7">
        <v>26</v>
      </c>
      <c r="H24" s="7">
        <f t="shared" si="0"/>
        <v>52</v>
      </c>
    </row>
    <row r="25" spans="1:8" s="3" customFormat="1" x14ac:dyDescent="0.25">
      <c r="A25" s="3" t="s">
        <v>30</v>
      </c>
      <c r="B25" s="3" t="s">
        <v>83</v>
      </c>
      <c r="C25" s="3" t="s">
        <v>140</v>
      </c>
      <c r="D25" s="3" t="s">
        <v>239</v>
      </c>
      <c r="E25" s="7">
        <v>30</v>
      </c>
      <c r="F25" s="7">
        <v>0</v>
      </c>
      <c r="G25" s="7">
        <v>22</v>
      </c>
      <c r="H25" s="7">
        <f t="shared" si="0"/>
        <v>52</v>
      </c>
    </row>
    <row r="26" spans="1:8" s="3" customFormat="1" x14ac:dyDescent="0.25">
      <c r="A26" s="3" t="s">
        <v>294</v>
      </c>
      <c r="B26" s="3" t="s">
        <v>295</v>
      </c>
      <c r="C26" s="3" t="s">
        <v>296</v>
      </c>
      <c r="D26" s="3" t="s">
        <v>178</v>
      </c>
      <c r="E26" s="7">
        <v>30</v>
      </c>
      <c r="F26" s="7">
        <v>0</v>
      </c>
      <c r="G26" s="7">
        <v>22</v>
      </c>
      <c r="H26" s="7">
        <f t="shared" si="0"/>
        <v>52</v>
      </c>
    </row>
    <row r="27" spans="1:8" s="3" customFormat="1" x14ac:dyDescent="0.25">
      <c r="A27" s="3" t="s">
        <v>20</v>
      </c>
      <c r="B27" s="3" t="s">
        <v>69</v>
      </c>
      <c r="C27" s="3" t="s">
        <v>126</v>
      </c>
      <c r="D27" s="3" t="s">
        <v>212</v>
      </c>
      <c r="E27" s="7">
        <v>30</v>
      </c>
      <c r="F27" s="7">
        <v>0</v>
      </c>
      <c r="G27" s="7">
        <v>17</v>
      </c>
      <c r="H27" s="7">
        <f t="shared" si="0"/>
        <v>47</v>
      </c>
    </row>
    <row r="28" spans="1:8" s="3" customFormat="1" x14ac:dyDescent="0.25">
      <c r="A28" s="3" t="s">
        <v>292</v>
      </c>
      <c r="B28" s="3" t="s">
        <v>293</v>
      </c>
      <c r="C28" s="3" t="s">
        <v>300</v>
      </c>
      <c r="E28" s="7">
        <v>20</v>
      </c>
      <c r="F28" s="7">
        <v>5</v>
      </c>
      <c r="G28" s="7">
        <v>19</v>
      </c>
      <c r="H28" s="7">
        <f t="shared" si="0"/>
        <v>44</v>
      </c>
    </row>
    <row r="29" spans="1:8" s="3" customFormat="1" x14ac:dyDescent="0.25">
      <c r="A29" s="3" t="s">
        <v>27</v>
      </c>
      <c r="B29" s="3" t="s">
        <v>77</v>
      </c>
      <c r="C29" s="3" t="s">
        <v>134</v>
      </c>
      <c r="D29" s="3" t="s">
        <v>230</v>
      </c>
      <c r="E29" s="7">
        <v>8</v>
      </c>
      <c r="F29" s="7">
        <v>0</v>
      </c>
      <c r="G29" s="7">
        <v>23</v>
      </c>
      <c r="H29" s="7">
        <f t="shared" si="0"/>
        <v>31</v>
      </c>
    </row>
    <row r="30" spans="1:8" s="3" customFormat="1" x14ac:dyDescent="0.25">
      <c r="A30" s="3" t="s">
        <v>10</v>
      </c>
      <c r="B30" s="3" t="s">
        <v>58</v>
      </c>
      <c r="C30" s="3" t="s">
        <v>115</v>
      </c>
      <c r="D30" s="3" t="s">
        <v>188</v>
      </c>
      <c r="E30" s="7">
        <v>16</v>
      </c>
      <c r="F30" s="7">
        <v>15</v>
      </c>
      <c r="G30" s="7">
        <v>0</v>
      </c>
      <c r="H30" s="7">
        <f t="shared" si="0"/>
        <v>31</v>
      </c>
    </row>
    <row r="31" spans="1:8" s="3" customFormat="1" x14ac:dyDescent="0.25">
      <c r="A31" s="3" t="s">
        <v>13</v>
      </c>
      <c r="B31" s="3" t="s">
        <v>61</v>
      </c>
      <c r="C31" s="3" t="s">
        <v>118</v>
      </c>
      <c r="D31" s="3" t="s">
        <v>191</v>
      </c>
      <c r="E31" s="7">
        <v>30</v>
      </c>
      <c r="F31" s="7">
        <v>0</v>
      </c>
      <c r="G31" s="7">
        <v>0</v>
      </c>
      <c r="H31" s="7">
        <f t="shared" si="0"/>
        <v>30</v>
      </c>
    </row>
    <row r="32" spans="1:8" s="3" customFormat="1" x14ac:dyDescent="0.25">
      <c r="A32" s="3" t="s">
        <v>32</v>
      </c>
      <c r="B32" s="3" t="s">
        <v>85</v>
      </c>
      <c r="C32" s="3" t="s">
        <v>143</v>
      </c>
      <c r="D32" s="3" t="s">
        <v>245</v>
      </c>
      <c r="E32" s="7">
        <v>30</v>
      </c>
      <c r="F32" s="7">
        <v>0</v>
      </c>
      <c r="G32" s="7">
        <v>0</v>
      </c>
      <c r="H32" s="7">
        <f t="shared" si="0"/>
        <v>30</v>
      </c>
    </row>
    <row r="33" spans="1:8" s="3" customFormat="1" x14ac:dyDescent="0.25">
      <c r="A33" s="3" t="s">
        <v>15</v>
      </c>
      <c r="B33" s="3" t="s">
        <v>63</v>
      </c>
      <c r="C33" s="3" t="s">
        <v>120</v>
      </c>
      <c r="D33" s="3" t="s">
        <v>200</v>
      </c>
      <c r="E33" s="7">
        <v>30</v>
      </c>
      <c r="F33" s="7">
        <v>0</v>
      </c>
      <c r="G33" s="7">
        <v>0</v>
      </c>
      <c r="H33" s="7">
        <f t="shared" si="0"/>
        <v>30</v>
      </c>
    </row>
    <row r="34" spans="1:8" s="3" customFormat="1" x14ac:dyDescent="0.25">
      <c r="A34" s="3" t="s">
        <v>25</v>
      </c>
      <c r="B34" s="3" t="s">
        <v>79</v>
      </c>
      <c r="C34" s="3" t="s">
        <v>136</v>
      </c>
      <c r="D34" s="3" t="s">
        <v>224</v>
      </c>
      <c r="E34" s="7">
        <v>26</v>
      </c>
      <c r="F34" s="7">
        <v>0</v>
      </c>
      <c r="G34" s="7">
        <v>0</v>
      </c>
      <c r="H34" s="7">
        <f t="shared" ref="H34:H64" si="1">SUM(E34:G34)</f>
        <v>26</v>
      </c>
    </row>
    <row r="35" spans="1:8" s="3" customFormat="1" x14ac:dyDescent="0.25">
      <c r="A35" s="3" t="s">
        <v>38</v>
      </c>
      <c r="B35" s="3" t="s">
        <v>93</v>
      </c>
      <c r="C35" s="3" t="s">
        <v>152</v>
      </c>
      <c r="D35" s="3" t="s">
        <v>268</v>
      </c>
      <c r="E35" s="7">
        <v>16</v>
      </c>
      <c r="F35" s="7">
        <v>10</v>
      </c>
      <c r="G35" s="7">
        <v>0</v>
      </c>
      <c r="H35" s="7">
        <f t="shared" si="1"/>
        <v>26</v>
      </c>
    </row>
    <row r="36" spans="1:8" s="3" customFormat="1" x14ac:dyDescent="0.25">
      <c r="A36" s="3" t="s">
        <v>23</v>
      </c>
      <c r="B36" s="3" t="s">
        <v>72</v>
      </c>
      <c r="C36" s="3" t="s">
        <v>129</v>
      </c>
      <c r="D36" s="3" t="s">
        <v>221</v>
      </c>
      <c r="E36" s="7">
        <v>26</v>
      </c>
      <c r="F36" s="7">
        <v>0</v>
      </c>
      <c r="G36" s="7">
        <v>0</v>
      </c>
      <c r="H36" s="7">
        <f t="shared" si="1"/>
        <v>26</v>
      </c>
    </row>
    <row r="37" spans="1:8" s="3" customFormat="1" x14ac:dyDescent="0.25">
      <c r="A37" s="3" t="s">
        <v>28</v>
      </c>
      <c r="B37" s="3" t="s">
        <v>288</v>
      </c>
      <c r="C37" s="3" t="s">
        <v>146</v>
      </c>
      <c r="D37" s="3" t="s">
        <v>251</v>
      </c>
      <c r="E37" s="7">
        <v>22</v>
      </c>
      <c r="F37" s="7">
        <v>0</v>
      </c>
      <c r="G37" s="7">
        <v>3</v>
      </c>
      <c r="H37" s="7">
        <f t="shared" si="1"/>
        <v>25</v>
      </c>
    </row>
    <row r="38" spans="1:8" s="3" customFormat="1" x14ac:dyDescent="0.25">
      <c r="A38" s="3" t="s">
        <v>26</v>
      </c>
      <c r="B38" s="3" t="s">
        <v>80</v>
      </c>
      <c r="C38" s="3" t="s">
        <v>137</v>
      </c>
      <c r="D38" s="3" t="s">
        <v>227</v>
      </c>
      <c r="E38" s="7">
        <v>12</v>
      </c>
      <c r="F38" s="7">
        <v>10</v>
      </c>
      <c r="G38" s="7">
        <v>0</v>
      </c>
      <c r="H38" s="7">
        <f t="shared" si="1"/>
        <v>22</v>
      </c>
    </row>
    <row r="39" spans="1:8" s="3" customFormat="1" x14ac:dyDescent="0.25">
      <c r="A39" s="3" t="s">
        <v>301</v>
      </c>
      <c r="B39" s="3" t="s">
        <v>140</v>
      </c>
      <c r="C39" s="3" t="s">
        <v>302</v>
      </c>
      <c r="E39" s="7">
        <v>0</v>
      </c>
      <c r="F39" s="7">
        <v>21</v>
      </c>
      <c r="G39" s="7">
        <v>0</v>
      </c>
      <c r="H39" s="7">
        <f t="shared" si="1"/>
        <v>21</v>
      </c>
    </row>
    <row r="40" spans="1:8" s="3" customFormat="1" x14ac:dyDescent="0.25">
      <c r="A40" s="3" t="s">
        <v>39</v>
      </c>
      <c r="B40" s="3" t="s">
        <v>94</v>
      </c>
      <c r="C40" s="3" t="s">
        <v>153</v>
      </c>
      <c r="D40" s="3" t="s">
        <v>271</v>
      </c>
      <c r="E40" s="7">
        <v>12</v>
      </c>
      <c r="F40" s="7">
        <v>7</v>
      </c>
      <c r="G40" s="7">
        <v>0</v>
      </c>
      <c r="H40" s="7">
        <f t="shared" si="1"/>
        <v>19</v>
      </c>
    </row>
    <row r="41" spans="1:8" s="3" customFormat="1" x14ac:dyDescent="0.25">
      <c r="A41" s="3" t="s">
        <v>24</v>
      </c>
      <c r="B41" s="3" t="s">
        <v>73</v>
      </c>
      <c r="C41" s="3" t="s">
        <v>130</v>
      </c>
      <c r="D41" s="3" t="s">
        <v>203</v>
      </c>
      <c r="E41" s="7">
        <v>16</v>
      </c>
      <c r="F41" s="7">
        <v>0</v>
      </c>
      <c r="G41" s="7">
        <v>0</v>
      </c>
      <c r="H41" s="7">
        <f t="shared" si="1"/>
        <v>16</v>
      </c>
    </row>
    <row r="42" spans="1:8" s="3" customFormat="1" x14ac:dyDescent="0.25">
      <c r="A42" s="3" t="s">
        <v>289</v>
      </c>
      <c r="B42" s="3" t="s">
        <v>290</v>
      </c>
      <c r="C42" s="3" t="s">
        <v>291</v>
      </c>
      <c r="E42" s="7">
        <v>12</v>
      </c>
      <c r="F42" s="7">
        <v>0</v>
      </c>
      <c r="G42" s="7">
        <v>0</v>
      </c>
      <c r="H42" s="7">
        <f t="shared" si="1"/>
        <v>12</v>
      </c>
    </row>
    <row r="43" spans="1:8" s="3" customFormat="1" x14ac:dyDescent="0.25">
      <c r="A43" s="3" t="s">
        <v>26</v>
      </c>
      <c r="B43" s="3" t="s">
        <v>75</v>
      </c>
      <c r="C43" s="3" t="s">
        <v>132</v>
      </c>
      <c r="D43" s="3" t="s">
        <v>227</v>
      </c>
      <c r="E43" s="7">
        <v>6</v>
      </c>
      <c r="F43" s="7">
        <v>5</v>
      </c>
      <c r="G43" s="7">
        <v>0</v>
      </c>
      <c r="H43" s="7">
        <f t="shared" si="1"/>
        <v>11</v>
      </c>
    </row>
    <row r="44" spans="1:8" s="3" customFormat="1" x14ac:dyDescent="0.25">
      <c r="A44" s="3" t="s">
        <v>40</v>
      </c>
      <c r="B44" s="3" t="s">
        <v>96</v>
      </c>
      <c r="C44" s="3" t="s">
        <v>155</v>
      </c>
      <c r="D44" s="3" t="s">
        <v>273</v>
      </c>
      <c r="E44" s="7">
        <v>10</v>
      </c>
      <c r="F44" s="7">
        <v>0</v>
      </c>
      <c r="G44" s="7">
        <v>0</v>
      </c>
      <c r="H44" s="7">
        <f t="shared" si="1"/>
        <v>10</v>
      </c>
    </row>
    <row r="45" spans="1:8" s="3" customFormat="1" x14ac:dyDescent="0.25">
      <c r="A45" s="3" t="s">
        <v>297</v>
      </c>
      <c r="B45" s="3" t="s">
        <v>298</v>
      </c>
      <c r="C45" s="3" t="s">
        <v>299</v>
      </c>
      <c r="E45" s="7">
        <v>6</v>
      </c>
      <c r="F45" s="7">
        <v>0</v>
      </c>
      <c r="G45" s="7">
        <v>0</v>
      </c>
      <c r="H45" s="7">
        <f t="shared" si="1"/>
        <v>6</v>
      </c>
    </row>
    <row r="46" spans="1:8" s="3" customFormat="1" x14ac:dyDescent="0.25">
      <c r="A46" s="3" t="s">
        <v>43</v>
      </c>
      <c r="B46" s="3" t="s">
        <v>101</v>
      </c>
      <c r="C46" s="3" t="s">
        <v>160</v>
      </c>
      <c r="D46" s="3" t="s">
        <v>282</v>
      </c>
      <c r="E46" s="7">
        <v>0</v>
      </c>
      <c r="F46" s="7">
        <v>5</v>
      </c>
      <c r="G46" s="7">
        <v>0</v>
      </c>
      <c r="H46" s="7">
        <f t="shared" si="1"/>
        <v>5</v>
      </c>
    </row>
    <row r="47" spans="1:8" s="3" customFormat="1" x14ac:dyDescent="0.25">
      <c r="A47" s="3" t="s">
        <v>26</v>
      </c>
      <c r="B47" s="3" t="s">
        <v>76</v>
      </c>
      <c r="C47" s="3" t="s">
        <v>133</v>
      </c>
      <c r="D47" s="3" t="s">
        <v>227</v>
      </c>
      <c r="E47" s="7">
        <v>0</v>
      </c>
      <c r="F47" s="7">
        <v>5</v>
      </c>
      <c r="G47" s="7">
        <v>0</v>
      </c>
      <c r="H47" s="7">
        <f t="shared" si="1"/>
        <v>5</v>
      </c>
    </row>
    <row r="48" spans="1:8" s="3" customFormat="1" x14ac:dyDescent="0.25">
      <c r="A48" s="3" t="s">
        <v>44</v>
      </c>
      <c r="B48" s="3" t="s">
        <v>102</v>
      </c>
      <c r="C48" s="3" t="s">
        <v>161</v>
      </c>
      <c r="D48" s="3" t="s">
        <v>282</v>
      </c>
      <c r="E48" s="7">
        <v>0</v>
      </c>
      <c r="F48" s="7">
        <v>5</v>
      </c>
      <c r="G48" s="7">
        <v>0</v>
      </c>
      <c r="H48" s="7">
        <f t="shared" si="1"/>
        <v>5</v>
      </c>
    </row>
    <row r="49" spans="1:8" s="3" customFormat="1" x14ac:dyDescent="0.25">
      <c r="A49" s="3" t="s">
        <v>9</v>
      </c>
      <c r="B49" s="3" t="s">
        <v>56</v>
      </c>
      <c r="C49" s="3" t="s">
        <v>113</v>
      </c>
      <c r="D49" s="3" t="s">
        <v>178</v>
      </c>
      <c r="E49" s="7">
        <v>0</v>
      </c>
      <c r="F49" s="7">
        <v>5</v>
      </c>
      <c r="G49" s="7">
        <v>0</v>
      </c>
      <c r="H49" s="7">
        <f t="shared" si="1"/>
        <v>5</v>
      </c>
    </row>
    <row r="50" spans="1:8" s="3" customFormat="1" x14ac:dyDescent="0.25">
      <c r="A50" s="3" t="s">
        <v>35</v>
      </c>
      <c r="B50" s="3" t="s">
        <v>89</v>
      </c>
      <c r="C50" s="3" t="s">
        <v>148</v>
      </c>
      <c r="D50" s="3" t="s">
        <v>257</v>
      </c>
      <c r="E50" s="7">
        <v>0</v>
      </c>
      <c r="F50" s="7">
        <v>0</v>
      </c>
      <c r="G50" s="7">
        <v>0</v>
      </c>
      <c r="H50" s="7">
        <f t="shared" si="1"/>
        <v>0</v>
      </c>
    </row>
    <row r="51" spans="1:8" s="3" customFormat="1" x14ac:dyDescent="0.25">
      <c r="A51" s="3" t="s">
        <v>8</v>
      </c>
      <c r="B51" s="3" t="s">
        <v>54</v>
      </c>
      <c r="C51" s="3" t="s">
        <v>111</v>
      </c>
      <c r="D51" s="3" t="s">
        <v>184</v>
      </c>
      <c r="E51" s="7">
        <v>0</v>
      </c>
      <c r="F51" s="7">
        <v>0</v>
      </c>
      <c r="G51" s="7">
        <v>0</v>
      </c>
      <c r="H51" s="7">
        <f t="shared" si="1"/>
        <v>0</v>
      </c>
    </row>
    <row r="52" spans="1:8" s="3" customFormat="1" x14ac:dyDescent="0.25">
      <c r="A52" s="3" t="s">
        <v>16</v>
      </c>
      <c r="B52" s="3" t="s">
        <v>64</v>
      </c>
      <c r="C52" s="3" t="s">
        <v>121</v>
      </c>
      <c r="D52" s="3" t="s">
        <v>203</v>
      </c>
      <c r="E52" s="7">
        <v>0</v>
      </c>
      <c r="F52" s="7">
        <v>0</v>
      </c>
      <c r="G52" s="7">
        <v>0</v>
      </c>
      <c r="H52" s="7">
        <f t="shared" si="1"/>
        <v>0</v>
      </c>
    </row>
    <row r="53" spans="1:8" s="3" customFormat="1" x14ac:dyDescent="0.25">
      <c r="A53" s="3" t="s">
        <v>8</v>
      </c>
      <c r="B53" s="3" t="s">
        <v>55</v>
      </c>
      <c r="C53" s="3" t="s">
        <v>112</v>
      </c>
      <c r="D53" s="3" t="s">
        <v>184</v>
      </c>
      <c r="E53" s="7">
        <v>0</v>
      </c>
      <c r="F53" s="7">
        <v>0</v>
      </c>
      <c r="G53" s="7">
        <v>0</v>
      </c>
      <c r="H53" s="7">
        <f t="shared" si="1"/>
        <v>0</v>
      </c>
    </row>
    <row r="54" spans="1:8" s="3" customFormat="1" x14ac:dyDescent="0.25">
      <c r="A54" s="3" t="s">
        <v>26</v>
      </c>
      <c r="B54" s="3" t="s">
        <v>81</v>
      </c>
      <c r="C54" s="3" t="s">
        <v>138</v>
      </c>
      <c r="D54" s="3" t="s">
        <v>227</v>
      </c>
      <c r="E54" s="7">
        <v>0</v>
      </c>
      <c r="F54" s="7">
        <v>0</v>
      </c>
      <c r="G54" s="7">
        <v>0</v>
      </c>
      <c r="H54" s="7">
        <f t="shared" si="1"/>
        <v>0</v>
      </c>
    </row>
    <row r="55" spans="1:8" s="3" customFormat="1" x14ac:dyDescent="0.25">
      <c r="A55" s="3" t="s">
        <v>17</v>
      </c>
      <c r="B55" s="3" t="s">
        <v>66</v>
      </c>
      <c r="C55" s="3" t="s">
        <v>123</v>
      </c>
      <c r="D55" s="3" t="s">
        <v>206</v>
      </c>
      <c r="E55" s="7">
        <v>0</v>
      </c>
      <c r="F55" s="7">
        <v>0</v>
      </c>
      <c r="G55" s="7">
        <v>0</v>
      </c>
      <c r="H55" s="7">
        <f t="shared" si="1"/>
        <v>0</v>
      </c>
    </row>
    <row r="56" spans="1:8" s="3" customFormat="1" x14ac:dyDescent="0.25">
      <c r="A56" s="3" t="s">
        <v>41</v>
      </c>
      <c r="B56" s="3" t="s">
        <v>97</v>
      </c>
      <c r="C56" s="3" t="s">
        <v>156</v>
      </c>
      <c r="D56" s="3" t="s">
        <v>276</v>
      </c>
      <c r="E56" s="7">
        <v>0</v>
      </c>
      <c r="F56" s="7">
        <v>0</v>
      </c>
      <c r="G56" s="7">
        <v>0</v>
      </c>
      <c r="H56" s="7">
        <f t="shared" si="1"/>
        <v>0</v>
      </c>
    </row>
    <row r="57" spans="1:8" s="3" customFormat="1" x14ac:dyDescent="0.25">
      <c r="A57" s="3" t="s">
        <v>25</v>
      </c>
      <c r="B57" s="3" t="s">
        <v>74</v>
      </c>
      <c r="C57" s="3" t="s">
        <v>131</v>
      </c>
      <c r="D57" s="3" t="s">
        <v>224</v>
      </c>
      <c r="E57" s="7">
        <v>0</v>
      </c>
      <c r="F57" s="7">
        <v>0</v>
      </c>
      <c r="G57" s="7">
        <v>0</v>
      </c>
      <c r="H57" s="7">
        <f t="shared" si="1"/>
        <v>0</v>
      </c>
    </row>
    <row r="58" spans="1:8" s="3" customFormat="1" x14ac:dyDescent="0.25">
      <c r="A58" s="3" t="s">
        <v>16</v>
      </c>
      <c r="B58" s="3" t="s">
        <v>65</v>
      </c>
      <c r="C58" s="3" t="s">
        <v>122</v>
      </c>
      <c r="D58" s="3" t="s">
        <v>203</v>
      </c>
      <c r="E58" s="7">
        <v>0</v>
      </c>
      <c r="F58" s="7">
        <v>0</v>
      </c>
      <c r="G58" s="7">
        <v>0</v>
      </c>
      <c r="H58" s="7">
        <f t="shared" si="1"/>
        <v>0</v>
      </c>
    </row>
    <row r="59" spans="1:8" s="3" customFormat="1" x14ac:dyDescent="0.25">
      <c r="A59" s="3" t="s">
        <v>6</v>
      </c>
      <c r="B59" s="3" t="s">
        <v>52</v>
      </c>
      <c r="C59" s="3" t="s">
        <v>109</v>
      </c>
      <c r="D59" s="3" t="s">
        <v>178</v>
      </c>
      <c r="E59" s="7">
        <v>0</v>
      </c>
      <c r="F59" s="7">
        <v>0</v>
      </c>
      <c r="G59" s="7">
        <v>0</v>
      </c>
      <c r="H59" s="7">
        <f t="shared" si="1"/>
        <v>0</v>
      </c>
    </row>
    <row r="60" spans="1:8" s="3" customFormat="1" x14ac:dyDescent="0.25">
      <c r="A60" s="3" t="s">
        <v>36</v>
      </c>
      <c r="B60" s="3" t="s">
        <v>90</v>
      </c>
      <c r="C60" s="3" t="s">
        <v>149</v>
      </c>
      <c r="D60" s="3" t="s">
        <v>260</v>
      </c>
      <c r="E60" s="7">
        <v>0</v>
      </c>
      <c r="F60" s="7">
        <v>0</v>
      </c>
      <c r="G60" s="7">
        <v>0</v>
      </c>
      <c r="H60" s="7">
        <f t="shared" si="1"/>
        <v>0</v>
      </c>
    </row>
    <row r="61" spans="1:8" s="3" customFormat="1" x14ac:dyDescent="0.25">
      <c r="A61" s="3" t="s">
        <v>7</v>
      </c>
      <c r="B61" s="3" t="s">
        <v>53</v>
      </c>
      <c r="C61" s="3" t="s">
        <v>110</v>
      </c>
      <c r="D61" s="3" t="s">
        <v>181</v>
      </c>
      <c r="E61" s="7">
        <v>0</v>
      </c>
      <c r="F61" s="7">
        <v>0</v>
      </c>
      <c r="G61" s="7">
        <v>0</v>
      </c>
      <c r="H61" s="7">
        <f t="shared" si="1"/>
        <v>0</v>
      </c>
    </row>
    <row r="62" spans="1:8" s="3" customFormat="1" x14ac:dyDescent="0.25">
      <c r="A62" s="3" t="s">
        <v>34</v>
      </c>
      <c r="B62" s="3" t="s">
        <v>88</v>
      </c>
      <c r="C62" s="3" t="s">
        <v>147</v>
      </c>
      <c r="D62" s="3" t="s">
        <v>254</v>
      </c>
      <c r="E62" s="7">
        <v>0</v>
      </c>
      <c r="F62" s="7">
        <v>0</v>
      </c>
      <c r="G62" s="7">
        <v>0</v>
      </c>
      <c r="H62" s="7">
        <f t="shared" si="1"/>
        <v>0</v>
      </c>
    </row>
    <row r="63" spans="1:8" s="3" customFormat="1" x14ac:dyDescent="0.25">
      <c r="A63" s="3" t="s">
        <v>12</v>
      </c>
      <c r="B63" s="3" t="s">
        <v>60</v>
      </c>
      <c r="C63" s="3" t="s">
        <v>117</v>
      </c>
      <c r="D63" s="3" t="s">
        <v>194</v>
      </c>
      <c r="E63" s="7">
        <v>0</v>
      </c>
      <c r="F63" s="7">
        <v>0</v>
      </c>
      <c r="G63" s="7">
        <v>0</v>
      </c>
      <c r="H63" s="7">
        <f t="shared" si="1"/>
        <v>0</v>
      </c>
    </row>
    <row r="64" spans="1:8" x14ac:dyDescent="0.25">
      <c r="A64" t="s">
        <v>43</v>
      </c>
      <c r="B64" t="s">
        <v>100</v>
      </c>
      <c r="C64" t="s">
        <v>159</v>
      </c>
      <c r="D64" t="s">
        <v>282</v>
      </c>
      <c r="E64" s="10">
        <v>0</v>
      </c>
      <c r="F64" s="10">
        <v>0</v>
      </c>
      <c r="G64" s="10">
        <v>0</v>
      </c>
      <c r="H64" s="10">
        <f t="shared" si="1"/>
        <v>0</v>
      </c>
    </row>
  </sheetData>
  <autoFilter ref="A1:H64">
    <sortState ref="A2:J64">
      <sortCondition descending="1" ref="H1:H64"/>
    </sortState>
  </autoFilter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47"/>
  <sheetViews>
    <sheetView topLeftCell="A19" workbookViewId="0">
      <selection activeCell="A4" sqref="A4:A46"/>
    </sheetView>
  </sheetViews>
  <sheetFormatPr defaultRowHeight="15" x14ac:dyDescent="0.25"/>
  <cols>
    <col min="1" max="1" width="88" bestFit="1" customWidth="1"/>
    <col min="2" max="2" width="67.85546875" bestFit="1" customWidth="1"/>
  </cols>
  <sheetData>
    <row r="3" spans="1:2" x14ac:dyDescent="0.25">
      <c r="A3" s="27" t="s">
        <v>319</v>
      </c>
      <c r="B3" t="s">
        <v>321</v>
      </c>
    </row>
    <row r="4" spans="1:2" x14ac:dyDescent="0.25">
      <c r="A4" s="28" t="s">
        <v>13</v>
      </c>
      <c r="B4" s="29">
        <v>1</v>
      </c>
    </row>
    <row r="5" spans="1:2" x14ac:dyDescent="0.25">
      <c r="A5" s="28" t="s">
        <v>19</v>
      </c>
      <c r="B5" s="29">
        <v>4</v>
      </c>
    </row>
    <row r="6" spans="1:2" x14ac:dyDescent="0.25">
      <c r="A6" s="28" t="s">
        <v>301</v>
      </c>
      <c r="B6" s="29">
        <v>1</v>
      </c>
    </row>
    <row r="7" spans="1:2" x14ac:dyDescent="0.25">
      <c r="A7" s="28" t="s">
        <v>42</v>
      </c>
      <c r="B7" s="29">
        <v>2</v>
      </c>
    </row>
    <row r="8" spans="1:2" x14ac:dyDescent="0.25">
      <c r="A8" s="28" t="s">
        <v>294</v>
      </c>
      <c r="B8" s="29">
        <v>3</v>
      </c>
    </row>
    <row r="9" spans="1:2" x14ac:dyDescent="0.25">
      <c r="A9" s="28" t="s">
        <v>35</v>
      </c>
      <c r="B9" s="29">
        <v>1</v>
      </c>
    </row>
    <row r="10" spans="1:2" x14ac:dyDescent="0.25">
      <c r="A10" s="28" t="s">
        <v>38</v>
      </c>
      <c r="B10" s="29">
        <v>1</v>
      </c>
    </row>
    <row r="11" spans="1:2" x14ac:dyDescent="0.25">
      <c r="A11" s="28" t="s">
        <v>29</v>
      </c>
      <c r="B11" s="29">
        <v>1</v>
      </c>
    </row>
    <row r="12" spans="1:2" x14ac:dyDescent="0.25">
      <c r="A12" s="28" t="s">
        <v>30</v>
      </c>
      <c r="B12" s="29">
        <v>1</v>
      </c>
    </row>
    <row r="13" spans="1:2" x14ac:dyDescent="0.25">
      <c r="A13" s="28" t="s">
        <v>25</v>
      </c>
      <c r="B13" s="29">
        <v>2</v>
      </c>
    </row>
    <row r="14" spans="1:2" x14ac:dyDescent="0.25">
      <c r="A14" s="28" t="s">
        <v>18</v>
      </c>
      <c r="B14" s="29">
        <v>1</v>
      </c>
    </row>
    <row r="15" spans="1:2" x14ac:dyDescent="0.25">
      <c r="A15" s="28" t="s">
        <v>39</v>
      </c>
      <c r="B15" s="29">
        <v>1</v>
      </c>
    </row>
    <row r="16" spans="1:2" x14ac:dyDescent="0.25">
      <c r="A16" s="28" t="s">
        <v>3</v>
      </c>
      <c r="B16" s="29">
        <v>1</v>
      </c>
    </row>
    <row r="17" spans="1:2" x14ac:dyDescent="0.25">
      <c r="A17" s="28" t="s">
        <v>32</v>
      </c>
      <c r="B17" s="29">
        <v>1</v>
      </c>
    </row>
    <row r="18" spans="1:2" x14ac:dyDescent="0.25">
      <c r="A18" s="28" t="s">
        <v>20</v>
      </c>
      <c r="B18" s="29">
        <v>1</v>
      </c>
    </row>
    <row r="19" spans="1:2" x14ac:dyDescent="0.25">
      <c r="A19" s="28" t="s">
        <v>27</v>
      </c>
      <c r="B19" s="29">
        <v>1</v>
      </c>
    </row>
    <row r="20" spans="1:2" x14ac:dyDescent="0.25">
      <c r="A20" s="28" t="s">
        <v>8</v>
      </c>
      <c r="B20" s="29">
        <v>2</v>
      </c>
    </row>
    <row r="21" spans="1:2" x14ac:dyDescent="0.25">
      <c r="A21" s="28" t="s">
        <v>26</v>
      </c>
      <c r="B21" s="29">
        <v>4</v>
      </c>
    </row>
    <row r="22" spans="1:2" x14ac:dyDescent="0.25">
      <c r="A22" s="28" t="s">
        <v>23</v>
      </c>
      <c r="B22" s="29">
        <v>1</v>
      </c>
    </row>
    <row r="23" spans="1:2" x14ac:dyDescent="0.25">
      <c r="A23" s="28" t="s">
        <v>289</v>
      </c>
      <c r="B23" s="29">
        <v>1</v>
      </c>
    </row>
    <row r="24" spans="1:2" x14ac:dyDescent="0.25">
      <c r="A24" s="28" t="s">
        <v>292</v>
      </c>
      <c r="B24" s="29">
        <v>2</v>
      </c>
    </row>
    <row r="25" spans="1:2" x14ac:dyDescent="0.25">
      <c r="A25" s="28" t="s">
        <v>7</v>
      </c>
      <c r="B25" s="29">
        <v>1</v>
      </c>
    </row>
    <row r="26" spans="1:2" x14ac:dyDescent="0.25">
      <c r="A26" s="28" t="s">
        <v>24</v>
      </c>
      <c r="B26" s="29">
        <v>1</v>
      </c>
    </row>
    <row r="27" spans="1:2" x14ac:dyDescent="0.25">
      <c r="A27" s="28" t="s">
        <v>16</v>
      </c>
      <c r="B27" s="29">
        <v>2</v>
      </c>
    </row>
    <row r="28" spans="1:2" x14ac:dyDescent="0.25">
      <c r="A28" s="28" t="s">
        <v>37</v>
      </c>
      <c r="B28" s="29">
        <v>1</v>
      </c>
    </row>
    <row r="29" spans="1:2" x14ac:dyDescent="0.25">
      <c r="A29" s="28" t="s">
        <v>22</v>
      </c>
      <c r="B29" s="29">
        <v>1</v>
      </c>
    </row>
    <row r="30" spans="1:2" x14ac:dyDescent="0.25">
      <c r="A30" s="28" t="s">
        <v>36</v>
      </c>
      <c r="B30" s="29">
        <v>2</v>
      </c>
    </row>
    <row r="31" spans="1:2" x14ac:dyDescent="0.25">
      <c r="A31" s="28" t="s">
        <v>17</v>
      </c>
      <c r="B31" s="29">
        <v>1</v>
      </c>
    </row>
    <row r="32" spans="1:2" x14ac:dyDescent="0.25">
      <c r="A32" s="28" t="s">
        <v>28</v>
      </c>
      <c r="B32" s="29">
        <v>3</v>
      </c>
    </row>
    <row r="33" spans="1:2" x14ac:dyDescent="0.25">
      <c r="A33" s="28" t="s">
        <v>12</v>
      </c>
      <c r="B33" s="29">
        <v>1</v>
      </c>
    </row>
    <row r="34" spans="1:2" x14ac:dyDescent="0.25">
      <c r="A34" s="28" t="s">
        <v>10</v>
      </c>
      <c r="B34" s="29">
        <v>2</v>
      </c>
    </row>
    <row r="35" spans="1:2" x14ac:dyDescent="0.25">
      <c r="A35" s="28" t="s">
        <v>31</v>
      </c>
      <c r="B35" s="29">
        <v>1</v>
      </c>
    </row>
    <row r="36" spans="1:2" x14ac:dyDescent="0.25">
      <c r="A36" s="28" t="s">
        <v>15</v>
      </c>
      <c r="B36" s="29">
        <v>1</v>
      </c>
    </row>
    <row r="37" spans="1:2" x14ac:dyDescent="0.25">
      <c r="A37" s="28" t="s">
        <v>41</v>
      </c>
      <c r="B37" s="29">
        <v>1</v>
      </c>
    </row>
    <row r="38" spans="1:2" x14ac:dyDescent="0.25">
      <c r="A38" s="28" t="s">
        <v>44</v>
      </c>
      <c r="B38" s="29">
        <v>1</v>
      </c>
    </row>
    <row r="39" spans="1:2" x14ac:dyDescent="0.25">
      <c r="A39" s="28" t="s">
        <v>43</v>
      </c>
      <c r="B39" s="29">
        <v>2</v>
      </c>
    </row>
    <row r="40" spans="1:2" x14ac:dyDescent="0.25">
      <c r="A40" s="28" t="s">
        <v>21</v>
      </c>
      <c r="B40" s="29">
        <v>1</v>
      </c>
    </row>
    <row r="41" spans="1:2" x14ac:dyDescent="0.25">
      <c r="A41" s="28" t="s">
        <v>5</v>
      </c>
      <c r="B41" s="29">
        <v>2</v>
      </c>
    </row>
    <row r="42" spans="1:2" x14ac:dyDescent="0.25">
      <c r="A42" s="28" t="s">
        <v>40</v>
      </c>
      <c r="B42" s="29">
        <v>1</v>
      </c>
    </row>
    <row r="43" spans="1:2" x14ac:dyDescent="0.25">
      <c r="A43" s="28" t="s">
        <v>1</v>
      </c>
      <c r="B43" s="29">
        <v>1</v>
      </c>
    </row>
    <row r="44" spans="1:2" x14ac:dyDescent="0.25">
      <c r="A44" s="28" t="s">
        <v>2</v>
      </c>
      <c r="B44" s="29">
        <v>1</v>
      </c>
    </row>
    <row r="45" spans="1:2" x14ac:dyDescent="0.25">
      <c r="A45" s="28" t="s">
        <v>33</v>
      </c>
      <c r="B45" s="29">
        <v>2</v>
      </c>
    </row>
    <row r="46" spans="1:2" x14ac:dyDescent="0.25">
      <c r="A46" s="28" t="s">
        <v>34</v>
      </c>
      <c r="B46" s="29">
        <v>1</v>
      </c>
    </row>
    <row r="47" spans="1:2" x14ac:dyDescent="0.25">
      <c r="A47" s="28" t="s">
        <v>320</v>
      </c>
      <c r="B47" s="29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4"/>
  <sheetViews>
    <sheetView workbookViewId="0">
      <selection activeCell="F7" sqref="F7"/>
    </sheetView>
  </sheetViews>
  <sheetFormatPr defaultRowHeight="15" x14ac:dyDescent="0.25"/>
  <cols>
    <col min="2" max="2" width="37.85546875" customWidth="1"/>
    <col min="3" max="3" width="24.140625" customWidth="1"/>
    <col min="4" max="4" width="23.140625" customWidth="1"/>
    <col min="5" max="5" width="28" customWidth="1"/>
    <col min="6" max="6" width="17" customWidth="1"/>
    <col min="7" max="7" width="16.7109375" customWidth="1"/>
    <col min="8" max="8" width="17.140625" customWidth="1"/>
    <col min="9" max="9" width="13.28515625" customWidth="1"/>
    <col min="10" max="10" width="15.5703125" customWidth="1"/>
  </cols>
  <sheetData>
    <row r="1" spans="1:11" s="11" customFormat="1" x14ac:dyDescent="0.25">
      <c r="A1" s="11" t="s">
        <v>304</v>
      </c>
      <c r="B1" s="11" t="s">
        <v>0</v>
      </c>
      <c r="C1" s="11" t="s">
        <v>45</v>
      </c>
      <c r="D1" s="11" t="s">
        <v>103</v>
      </c>
      <c r="E1" s="11" t="s">
        <v>162</v>
      </c>
      <c r="F1" s="11" t="s">
        <v>163</v>
      </c>
      <c r="G1" s="11" t="s">
        <v>164</v>
      </c>
      <c r="H1" s="11" t="s">
        <v>285</v>
      </c>
      <c r="I1" s="11" t="s">
        <v>286</v>
      </c>
      <c r="J1" s="11" t="s">
        <v>287</v>
      </c>
      <c r="K1" s="11" t="s">
        <v>303</v>
      </c>
    </row>
    <row r="2" spans="1:11" s="3" customFormat="1" x14ac:dyDescent="0.25">
      <c r="A2" s="3" t="s">
        <v>305</v>
      </c>
      <c r="B2" s="3" t="s">
        <v>19</v>
      </c>
      <c r="C2" s="3" t="s">
        <v>59</v>
      </c>
      <c r="D2" s="3" t="s">
        <v>116</v>
      </c>
      <c r="E2" s="3" t="s">
        <v>191</v>
      </c>
      <c r="F2" s="3" t="s">
        <v>192</v>
      </c>
      <c r="G2" s="3" t="s">
        <v>193</v>
      </c>
      <c r="H2" s="3">
        <v>30</v>
      </c>
      <c r="I2" s="3">
        <v>29</v>
      </c>
      <c r="J2" s="3">
        <v>25</v>
      </c>
      <c r="K2" s="3">
        <f t="shared" ref="K2:K33" si="0">SUM(H2:J2)</f>
        <v>84</v>
      </c>
    </row>
    <row r="3" spans="1:11" s="3" customFormat="1" x14ac:dyDescent="0.25">
      <c r="A3" s="3" t="s">
        <v>305</v>
      </c>
      <c r="B3" s="3" t="s">
        <v>19</v>
      </c>
      <c r="C3" s="3" t="s">
        <v>62</v>
      </c>
      <c r="D3" s="3" t="s">
        <v>119</v>
      </c>
      <c r="E3" s="3" t="s">
        <v>191</v>
      </c>
      <c r="F3" s="3" t="s">
        <v>197</v>
      </c>
      <c r="G3" s="3" t="s">
        <v>199</v>
      </c>
      <c r="H3" s="3">
        <v>28</v>
      </c>
      <c r="I3" s="3">
        <v>25</v>
      </c>
      <c r="J3" s="3">
        <v>28</v>
      </c>
      <c r="K3" s="3">
        <f t="shared" si="0"/>
        <v>81</v>
      </c>
    </row>
    <row r="4" spans="1:11" s="3" customFormat="1" x14ac:dyDescent="0.25">
      <c r="A4" s="3" t="s">
        <v>306</v>
      </c>
      <c r="B4" s="3" t="s">
        <v>5</v>
      </c>
      <c r="C4" s="3" t="s">
        <v>51</v>
      </c>
      <c r="D4" s="3" t="s">
        <v>108</v>
      </c>
      <c r="E4" s="3" t="s">
        <v>175</v>
      </c>
      <c r="F4" s="3" t="s">
        <v>176</v>
      </c>
      <c r="G4" s="3" t="s">
        <v>177</v>
      </c>
      <c r="H4" s="3">
        <v>30</v>
      </c>
      <c r="I4" s="3">
        <v>23</v>
      </c>
      <c r="J4" s="3">
        <v>27</v>
      </c>
      <c r="K4" s="3">
        <f t="shared" si="0"/>
        <v>80</v>
      </c>
    </row>
    <row r="5" spans="1:11" s="3" customFormat="1" x14ac:dyDescent="0.25">
      <c r="A5" s="3" t="s">
        <v>305</v>
      </c>
      <c r="B5" s="3" t="s">
        <v>28</v>
      </c>
      <c r="C5" s="3" t="s">
        <v>84</v>
      </c>
      <c r="D5" s="3" t="s">
        <v>141</v>
      </c>
      <c r="E5" s="3" t="s">
        <v>242</v>
      </c>
      <c r="F5" s="3" t="s">
        <v>243</v>
      </c>
      <c r="G5" s="3" t="s">
        <v>244</v>
      </c>
      <c r="H5" s="3">
        <v>30</v>
      </c>
      <c r="I5" s="3">
        <v>27</v>
      </c>
      <c r="J5" s="3">
        <v>23</v>
      </c>
      <c r="K5" s="3">
        <f t="shared" si="0"/>
        <v>80</v>
      </c>
    </row>
    <row r="6" spans="1:11" s="3" customFormat="1" x14ac:dyDescent="0.25">
      <c r="A6" s="3" t="s">
        <v>305</v>
      </c>
      <c r="B6" s="3" t="s">
        <v>33</v>
      </c>
      <c r="C6" s="3" t="s">
        <v>86</v>
      </c>
      <c r="D6" s="3" t="s">
        <v>144</v>
      </c>
      <c r="E6" s="3" t="s">
        <v>248</v>
      </c>
      <c r="F6" s="3" t="s">
        <v>249</v>
      </c>
      <c r="G6" s="3" t="s">
        <v>250</v>
      </c>
      <c r="H6" s="3">
        <v>30</v>
      </c>
      <c r="I6" s="3">
        <v>22</v>
      </c>
      <c r="J6" s="3">
        <v>28</v>
      </c>
      <c r="K6" s="3">
        <f t="shared" si="0"/>
        <v>80</v>
      </c>
    </row>
    <row r="7" spans="1:11" s="3" customFormat="1" x14ac:dyDescent="0.25">
      <c r="A7" s="3" t="s">
        <v>306</v>
      </c>
      <c r="B7" s="3" t="s">
        <v>29</v>
      </c>
      <c r="C7" s="3" t="s">
        <v>82</v>
      </c>
      <c r="D7" s="3" t="s">
        <v>139</v>
      </c>
      <c r="E7" s="3" t="s">
        <v>236</v>
      </c>
      <c r="F7" s="3" t="s">
        <v>237</v>
      </c>
      <c r="G7" s="3" t="s">
        <v>238</v>
      </c>
      <c r="H7" s="3">
        <v>30</v>
      </c>
      <c r="I7" s="3">
        <v>29</v>
      </c>
      <c r="J7" s="3">
        <v>21</v>
      </c>
      <c r="K7" s="3">
        <f t="shared" si="0"/>
        <v>80</v>
      </c>
    </row>
    <row r="8" spans="1:11" s="3" customFormat="1" x14ac:dyDescent="0.25">
      <c r="A8" s="3" t="s">
        <v>305</v>
      </c>
      <c r="B8" s="3" t="s">
        <v>42</v>
      </c>
      <c r="C8" s="3" t="s">
        <v>98</v>
      </c>
      <c r="D8" s="3" t="s">
        <v>157</v>
      </c>
      <c r="E8" s="3" t="s">
        <v>279</v>
      </c>
      <c r="F8" s="3" t="s">
        <v>280</v>
      </c>
      <c r="G8" s="3" t="s">
        <v>281</v>
      </c>
      <c r="H8" s="3">
        <v>30</v>
      </c>
      <c r="I8" s="3">
        <v>20</v>
      </c>
      <c r="J8" s="3">
        <v>29</v>
      </c>
      <c r="K8" s="3">
        <f t="shared" si="0"/>
        <v>79</v>
      </c>
    </row>
    <row r="9" spans="1:11" s="3" customFormat="1" x14ac:dyDescent="0.25">
      <c r="A9" s="3" t="s">
        <v>305</v>
      </c>
      <c r="B9" s="3" t="s">
        <v>19</v>
      </c>
      <c r="C9" s="3" t="s">
        <v>95</v>
      </c>
      <c r="D9" s="3" t="s">
        <v>154</v>
      </c>
      <c r="E9" s="3" t="s">
        <v>191</v>
      </c>
      <c r="F9" s="3" t="s">
        <v>197</v>
      </c>
      <c r="G9" s="3" t="s">
        <v>193</v>
      </c>
      <c r="H9" s="3">
        <v>30</v>
      </c>
      <c r="I9" s="3">
        <v>19</v>
      </c>
      <c r="J9" s="3">
        <v>29</v>
      </c>
      <c r="K9" s="3">
        <f t="shared" si="0"/>
        <v>78</v>
      </c>
    </row>
    <row r="10" spans="1:11" s="3" customFormat="1" x14ac:dyDescent="0.25">
      <c r="A10" s="3" t="s">
        <v>305</v>
      </c>
      <c r="B10" s="3" t="s">
        <v>28</v>
      </c>
      <c r="C10" s="3" t="s">
        <v>78</v>
      </c>
      <c r="D10" s="3" t="s">
        <v>135</v>
      </c>
      <c r="E10" s="3" t="s">
        <v>233</v>
      </c>
      <c r="F10" s="3" t="s">
        <v>234</v>
      </c>
      <c r="G10" s="3" t="s">
        <v>235</v>
      </c>
      <c r="H10" s="3">
        <v>30</v>
      </c>
      <c r="I10" s="3">
        <v>25</v>
      </c>
      <c r="J10" s="3">
        <v>22</v>
      </c>
      <c r="K10" s="3">
        <f t="shared" si="0"/>
        <v>77</v>
      </c>
    </row>
    <row r="11" spans="1:11" s="3" customFormat="1" x14ac:dyDescent="0.25">
      <c r="A11" s="3" t="s">
        <v>305</v>
      </c>
      <c r="B11" s="3" t="s">
        <v>1</v>
      </c>
      <c r="C11" s="3" t="s">
        <v>46</v>
      </c>
      <c r="D11" s="3" t="s">
        <v>104</v>
      </c>
      <c r="E11" s="3" t="s">
        <v>165</v>
      </c>
      <c r="F11" s="3" t="s">
        <v>166</v>
      </c>
      <c r="G11" s="3" t="s">
        <v>167</v>
      </c>
      <c r="H11" s="3">
        <v>30</v>
      </c>
      <c r="I11" s="3">
        <v>22</v>
      </c>
      <c r="J11" s="3">
        <v>23</v>
      </c>
      <c r="K11" s="3">
        <f t="shared" si="0"/>
        <v>75</v>
      </c>
    </row>
    <row r="12" spans="1:11" s="4" customFormat="1" ht="15.75" thickBot="1" x14ac:dyDescent="0.3">
      <c r="A12" s="4" t="s">
        <v>305</v>
      </c>
      <c r="B12" s="4" t="s">
        <v>33</v>
      </c>
      <c r="C12" s="4" t="s">
        <v>87</v>
      </c>
      <c r="D12" s="4" t="s">
        <v>145</v>
      </c>
      <c r="E12" s="4" t="s">
        <v>248</v>
      </c>
      <c r="F12" s="4" t="s">
        <v>249</v>
      </c>
      <c r="G12" s="4" t="s">
        <v>250</v>
      </c>
      <c r="H12" s="4">
        <v>30</v>
      </c>
      <c r="I12" s="4">
        <v>23</v>
      </c>
      <c r="J12" s="4">
        <v>22</v>
      </c>
      <c r="K12" s="4">
        <f t="shared" si="0"/>
        <v>75</v>
      </c>
    </row>
    <row r="13" spans="1:11" x14ac:dyDescent="0.25">
      <c r="B13" s="2" t="s">
        <v>37</v>
      </c>
      <c r="C13" s="2" t="s">
        <v>92</v>
      </c>
      <c r="D13" s="2" t="s">
        <v>151</v>
      </c>
      <c r="E13" s="2" t="s">
        <v>265</v>
      </c>
      <c r="F13" s="2" t="s">
        <v>266</v>
      </c>
      <c r="G13" s="2" t="s">
        <v>267</v>
      </c>
      <c r="H13" s="2">
        <v>30</v>
      </c>
      <c r="I13" s="2">
        <v>21</v>
      </c>
      <c r="J13" s="2">
        <v>22</v>
      </c>
      <c r="K13">
        <f t="shared" si="0"/>
        <v>73</v>
      </c>
    </row>
    <row r="14" spans="1:11" x14ac:dyDescent="0.25">
      <c r="B14" t="s">
        <v>10</v>
      </c>
      <c r="C14" t="s">
        <v>57</v>
      </c>
      <c r="D14" t="s">
        <v>114</v>
      </c>
      <c r="E14" t="s">
        <v>188</v>
      </c>
      <c r="F14" t="s">
        <v>189</v>
      </c>
      <c r="G14" t="s">
        <v>190</v>
      </c>
      <c r="H14">
        <v>30</v>
      </c>
      <c r="I14">
        <v>15</v>
      </c>
      <c r="J14">
        <v>27</v>
      </c>
      <c r="K14">
        <f t="shared" si="0"/>
        <v>72</v>
      </c>
    </row>
    <row r="15" spans="1:11" x14ac:dyDescent="0.25">
      <c r="B15" t="s">
        <v>18</v>
      </c>
      <c r="C15" t="s">
        <v>67</v>
      </c>
      <c r="D15" t="s">
        <v>124</v>
      </c>
      <c r="E15" t="s">
        <v>209</v>
      </c>
      <c r="F15" t="s">
        <v>210</v>
      </c>
      <c r="G15" t="s">
        <v>211</v>
      </c>
      <c r="H15">
        <v>30</v>
      </c>
      <c r="I15">
        <v>10</v>
      </c>
      <c r="J15">
        <v>30</v>
      </c>
      <c r="K15">
        <f t="shared" si="0"/>
        <v>70</v>
      </c>
    </row>
    <row r="16" spans="1:11" x14ac:dyDescent="0.25">
      <c r="B16" t="s">
        <v>36</v>
      </c>
      <c r="C16" t="s">
        <v>91</v>
      </c>
      <c r="D16" t="s">
        <v>150</v>
      </c>
      <c r="E16" t="s">
        <v>263</v>
      </c>
      <c r="F16" t="s">
        <v>261</v>
      </c>
      <c r="G16" t="s">
        <v>264</v>
      </c>
      <c r="H16">
        <v>30</v>
      </c>
      <c r="I16">
        <v>17</v>
      </c>
      <c r="J16">
        <v>23</v>
      </c>
      <c r="K16">
        <f t="shared" si="0"/>
        <v>70</v>
      </c>
    </row>
    <row r="17" spans="2:11" x14ac:dyDescent="0.25">
      <c r="B17" s="3" t="s">
        <v>5</v>
      </c>
      <c r="C17" t="s">
        <v>50</v>
      </c>
      <c r="D17" t="s">
        <v>107</v>
      </c>
      <c r="E17" t="s">
        <v>175</v>
      </c>
      <c r="F17" t="s">
        <v>176</v>
      </c>
      <c r="G17" t="s">
        <v>177</v>
      </c>
      <c r="H17">
        <v>30</v>
      </c>
      <c r="I17">
        <v>15</v>
      </c>
      <c r="J17">
        <v>22</v>
      </c>
      <c r="K17">
        <f t="shared" si="0"/>
        <v>67</v>
      </c>
    </row>
    <row r="18" spans="2:11" x14ac:dyDescent="0.25">
      <c r="B18" s="3" t="s">
        <v>19</v>
      </c>
      <c r="C18" t="s">
        <v>68</v>
      </c>
      <c r="D18" t="s">
        <v>125</v>
      </c>
      <c r="E18" t="s">
        <v>191</v>
      </c>
      <c r="F18" t="s">
        <v>197</v>
      </c>
      <c r="G18" t="s">
        <v>193</v>
      </c>
      <c r="H18">
        <v>30</v>
      </c>
      <c r="I18">
        <v>12</v>
      </c>
      <c r="J18">
        <v>23</v>
      </c>
      <c r="K18">
        <f t="shared" si="0"/>
        <v>65</v>
      </c>
    </row>
    <row r="19" spans="2:11" x14ac:dyDescent="0.25">
      <c r="B19" t="s">
        <v>3</v>
      </c>
      <c r="C19" t="s">
        <v>49</v>
      </c>
      <c r="D19" t="s">
        <v>106</v>
      </c>
      <c r="E19" t="s">
        <v>172</v>
      </c>
      <c r="F19" t="s">
        <v>173</v>
      </c>
      <c r="G19" t="s">
        <v>174</v>
      </c>
      <c r="H19" s="1">
        <v>30</v>
      </c>
      <c r="I19">
        <v>10</v>
      </c>
      <c r="J19">
        <v>22</v>
      </c>
      <c r="K19">
        <f t="shared" si="0"/>
        <v>62</v>
      </c>
    </row>
    <row r="20" spans="2:11" x14ac:dyDescent="0.25">
      <c r="B20" t="s">
        <v>31</v>
      </c>
      <c r="C20" t="s">
        <v>48</v>
      </c>
      <c r="D20" t="s">
        <v>142</v>
      </c>
      <c r="E20" t="s">
        <v>169</v>
      </c>
      <c r="F20" t="s">
        <v>170</v>
      </c>
      <c r="G20" t="s">
        <v>171</v>
      </c>
      <c r="H20">
        <v>30</v>
      </c>
      <c r="I20">
        <v>5</v>
      </c>
      <c r="J20">
        <v>27</v>
      </c>
      <c r="K20">
        <f t="shared" si="0"/>
        <v>62</v>
      </c>
    </row>
    <row r="21" spans="2:11" x14ac:dyDescent="0.25">
      <c r="B21" t="s">
        <v>22</v>
      </c>
      <c r="C21" t="s">
        <v>71</v>
      </c>
      <c r="D21" t="s">
        <v>128</v>
      </c>
      <c r="E21" t="s">
        <v>218</v>
      </c>
      <c r="F21" t="s">
        <v>219</v>
      </c>
      <c r="G21" t="s">
        <v>220</v>
      </c>
      <c r="H21">
        <v>30</v>
      </c>
      <c r="I21">
        <v>15</v>
      </c>
      <c r="J21">
        <v>16</v>
      </c>
      <c r="K21">
        <f t="shared" si="0"/>
        <v>61</v>
      </c>
    </row>
    <row r="22" spans="2:11" x14ac:dyDescent="0.25">
      <c r="B22" t="s">
        <v>42</v>
      </c>
      <c r="C22" t="s">
        <v>99</v>
      </c>
      <c r="D22" t="s">
        <v>158</v>
      </c>
      <c r="E22" t="s">
        <v>279</v>
      </c>
      <c r="F22" t="s">
        <v>280</v>
      </c>
      <c r="G22" t="s">
        <v>281</v>
      </c>
      <c r="H22">
        <v>30</v>
      </c>
      <c r="I22">
        <v>0</v>
      </c>
      <c r="J22">
        <v>29</v>
      </c>
      <c r="K22">
        <f t="shared" si="0"/>
        <v>59</v>
      </c>
    </row>
    <row r="23" spans="2:11" x14ac:dyDescent="0.25">
      <c r="B23" t="s">
        <v>2</v>
      </c>
      <c r="C23" t="s">
        <v>47</v>
      </c>
      <c r="D23" t="s">
        <v>105</v>
      </c>
      <c r="E23" t="s">
        <v>165</v>
      </c>
      <c r="F23" t="s">
        <v>166</v>
      </c>
      <c r="G23" t="s">
        <v>168</v>
      </c>
      <c r="H23">
        <v>30</v>
      </c>
      <c r="I23">
        <v>1</v>
      </c>
      <c r="J23">
        <v>24</v>
      </c>
      <c r="K23">
        <f t="shared" si="0"/>
        <v>55</v>
      </c>
    </row>
    <row r="24" spans="2:11" x14ac:dyDescent="0.25">
      <c r="B24" t="s">
        <v>21</v>
      </c>
      <c r="C24" t="s">
        <v>70</v>
      </c>
      <c r="D24" t="s">
        <v>127</v>
      </c>
      <c r="E24" t="s">
        <v>215</v>
      </c>
      <c r="F24" t="s">
        <v>216</v>
      </c>
      <c r="G24" t="s">
        <v>217</v>
      </c>
      <c r="H24">
        <v>16</v>
      </c>
      <c r="I24">
        <v>10</v>
      </c>
      <c r="J24">
        <v>26</v>
      </c>
      <c r="K24">
        <f t="shared" si="0"/>
        <v>52</v>
      </c>
    </row>
    <row r="25" spans="2:11" x14ac:dyDescent="0.25">
      <c r="B25" t="s">
        <v>30</v>
      </c>
      <c r="C25" t="s">
        <v>83</v>
      </c>
      <c r="D25" t="s">
        <v>140</v>
      </c>
      <c r="E25" t="s">
        <v>239</v>
      </c>
      <c r="F25" t="s">
        <v>240</v>
      </c>
      <c r="G25" t="s">
        <v>241</v>
      </c>
      <c r="H25">
        <v>30</v>
      </c>
      <c r="I25">
        <v>0</v>
      </c>
      <c r="J25">
        <v>22</v>
      </c>
      <c r="K25">
        <f t="shared" si="0"/>
        <v>52</v>
      </c>
    </row>
    <row r="26" spans="2:11" s="2" customFormat="1" x14ac:dyDescent="0.25">
      <c r="B26" t="s">
        <v>294</v>
      </c>
      <c r="C26" t="s">
        <v>295</v>
      </c>
      <c r="D26" t="s">
        <v>296</v>
      </c>
      <c r="E26" t="s">
        <v>178</v>
      </c>
      <c r="F26" t="s">
        <v>179</v>
      </c>
      <c r="G26" t="s">
        <v>187</v>
      </c>
      <c r="H26">
        <v>30</v>
      </c>
      <c r="I26">
        <v>0</v>
      </c>
      <c r="J26">
        <v>22</v>
      </c>
      <c r="K26">
        <f t="shared" si="0"/>
        <v>52</v>
      </c>
    </row>
    <row r="27" spans="2:11" x14ac:dyDescent="0.25">
      <c r="B27" t="s">
        <v>20</v>
      </c>
      <c r="C27" t="s">
        <v>69</v>
      </c>
      <c r="D27" t="s">
        <v>126</v>
      </c>
      <c r="E27" t="s">
        <v>212</v>
      </c>
      <c r="F27" t="s">
        <v>213</v>
      </c>
      <c r="G27" t="s">
        <v>214</v>
      </c>
      <c r="H27">
        <v>30</v>
      </c>
      <c r="I27">
        <v>0</v>
      </c>
      <c r="J27">
        <v>17</v>
      </c>
      <c r="K27">
        <f t="shared" si="0"/>
        <v>47</v>
      </c>
    </row>
    <row r="28" spans="2:11" x14ac:dyDescent="0.25">
      <c r="B28" t="s">
        <v>292</v>
      </c>
      <c r="C28" t="s">
        <v>293</v>
      </c>
      <c r="D28" t="s">
        <v>300</v>
      </c>
      <c r="H28">
        <v>20</v>
      </c>
      <c r="I28">
        <v>5</v>
      </c>
      <c r="J28">
        <v>19</v>
      </c>
      <c r="K28">
        <f t="shared" si="0"/>
        <v>44</v>
      </c>
    </row>
    <row r="29" spans="2:11" x14ac:dyDescent="0.25">
      <c r="B29" t="s">
        <v>27</v>
      </c>
      <c r="C29" t="s">
        <v>77</v>
      </c>
      <c r="D29" t="s">
        <v>134</v>
      </c>
      <c r="E29" t="s">
        <v>230</v>
      </c>
      <c r="F29" t="s">
        <v>231</v>
      </c>
      <c r="G29" t="s">
        <v>232</v>
      </c>
      <c r="H29">
        <v>8</v>
      </c>
      <c r="I29">
        <v>0</v>
      </c>
      <c r="J29">
        <v>23</v>
      </c>
      <c r="K29">
        <f t="shared" si="0"/>
        <v>31</v>
      </c>
    </row>
    <row r="30" spans="2:11" x14ac:dyDescent="0.25">
      <c r="B30" t="s">
        <v>10</v>
      </c>
      <c r="C30" t="s">
        <v>58</v>
      </c>
      <c r="D30" t="s">
        <v>115</v>
      </c>
      <c r="E30" t="s">
        <v>188</v>
      </c>
      <c r="F30" t="s">
        <v>189</v>
      </c>
      <c r="G30" t="s">
        <v>190</v>
      </c>
      <c r="H30">
        <v>16</v>
      </c>
      <c r="I30">
        <v>15</v>
      </c>
      <c r="J30">
        <v>0</v>
      </c>
      <c r="K30">
        <f t="shared" si="0"/>
        <v>31</v>
      </c>
    </row>
    <row r="31" spans="2:11" x14ac:dyDescent="0.25">
      <c r="B31" s="2" t="s">
        <v>13</v>
      </c>
      <c r="C31" s="2" t="s">
        <v>61</v>
      </c>
      <c r="D31" s="2" t="s">
        <v>118</v>
      </c>
      <c r="E31" s="2" t="s">
        <v>191</v>
      </c>
      <c r="F31" s="2" t="s">
        <v>197</v>
      </c>
      <c r="G31" s="2" t="s">
        <v>198</v>
      </c>
      <c r="H31" s="2">
        <v>30</v>
      </c>
      <c r="I31" s="2">
        <v>0</v>
      </c>
      <c r="J31" s="2">
        <v>0</v>
      </c>
      <c r="K31">
        <f t="shared" si="0"/>
        <v>30</v>
      </c>
    </row>
    <row r="32" spans="2:11" x14ac:dyDescent="0.25">
      <c r="B32" t="s">
        <v>32</v>
      </c>
      <c r="C32" t="s">
        <v>85</v>
      </c>
      <c r="D32" t="s">
        <v>143</v>
      </c>
      <c r="E32" t="s">
        <v>245</v>
      </c>
      <c r="F32" t="s">
        <v>246</v>
      </c>
      <c r="G32" t="s">
        <v>247</v>
      </c>
      <c r="H32">
        <v>30</v>
      </c>
      <c r="I32">
        <v>0</v>
      </c>
      <c r="J32">
        <v>0</v>
      </c>
      <c r="K32">
        <f t="shared" si="0"/>
        <v>30</v>
      </c>
    </row>
    <row r="33" spans="2:11" x14ac:dyDescent="0.25">
      <c r="B33" t="s">
        <v>15</v>
      </c>
      <c r="C33" t="s">
        <v>63</v>
      </c>
      <c r="D33" t="s">
        <v>120</v>
      </c>
      <c r="E33" t="s">
        <v>200</v>
      </c>
      <c r="F33" t="s">
        <v>201</v>
      </c>
      <c r="G33" t="s">
        <v>202</v>
      </c>
      <c r="H33">
        <v>30</v>
      </c>
      <c r="I33">
        <v>0</v>
      </c>
      <c r="J33">
        <v>0</v>
      </c>
      <c r="K33">
        <f t="shared" si="0"/>
        <v>30</v>
      </c>
    </row>
    <row r="34" spans="2:11" x14ac:dyDescent="0.25">
      <c r="B34" t="s">
        <v>25</v>
      </c>
      <c r="C34" t="s">
        <v>79</v>
      </c>
      <c r="D34" t="s">
        <v>136</v>
      </c>
      <c r="E34" t="s">
        <v>224</v>
      </c>
      <c r="F34" t="s">
        <v>225</v>
      </c>
      <c r="G34" t="s">
        <v>226</v>
      </c>
      <c r="H34">
        <v>26</v>
      </c>
      <c r="I34">
        <v>0</v>
      </c>
      <c r="J34">
        <v>0</v>
      </c>
      <c r="K34">
        <f t="shared" ref="K34:K64" si="1">SUM(H34:J34)</f>
        <v>26</v>
      </c>
    </row>
    <row r="35" spans="2:11" x14ac:dyDescent="0.25">
      <c r="B35" t="s">
        <v>38</v>
      </c>
      <c r="C35" t="s">
        <v>93</v>
      </c>
      <c r="D35" t="s">
        <v>152</v>
      </c>
      <c r="E35" t="s">
        <v>268</v>
      </c>
      <c r="F35" t="s">
        <v>269</v>
      </c>
      <c r="G35" t="s">
        <v>270</v>
      </c>
      <c r="H35">
        <v>16</v>
      </c>
      <c r="I35">
        <v>10</v>
      </c>
      <c r="J35">
        <v>0</v>
      </c>
      <c r="K35">
        <f t="shared" si="1"/>
        <v>26</v>
      </c>
    </row>
    <row r="36" spans="2:11" x14ac:dyDescent="0.25">
      <c r="B36" s="2" t="s">
        <v>23</v>
      </c>
      <c r="C36" s="2" t="s">
        <v>72</v>
      </c>
      <c r="D36" s="2" t="s">
        <v>129</v>
      </c>
      <c r="E36" s="2" t="s">
        <v>221</v>
      </c>
      <c r="F36" s="2" t="s">
        <v>222</v>
      </c>
      <c r="G36" s="2" t="s">
        <v>223</v>
      </c>
      <c r="H36" s="2">
        <v>26</v>
      </c>
      <c r="I36" s="2">
        <v>0</v>
      </c>
      <c r="J36" s="2">
        <v>0</v>
      </c>
      <c r="K36">
        <f t="shared" si="1"/>
        <v>26</v>
      </c>
    </row>
    <row r="37" spans="2:11" x14ac:dyDescent="0.25">
      <c r="B37" s="3" t="s">
        <v>28</v>
      </c>
      <c r="C37" t="s">
        <v>288</v>
      </c>
      <c r="D37" t="s">
        <v>146</v>
      </c>
      <c r="E37" t="s">
        <v>251</v>
      </c>
      <c r="F37" t="s">
        <v>252</v>
      </c>
      <c r="G37" t="s">
        <v>253</v>
      </c>
      <c r="H37">
        <v>22</v>
      </c>
      <c r="I37">
        <v>0</v>
      </c>
      <c r="J37">
        <v>3</v>
      </c>
      <c r="K37">
        <f t="shared" si="1"/>
        <v>25</v>
      </c>
    </row>
    <row r="38" spans="2:11" x14ac:dyDescent="0.25">
      <c r="B38" t="s">
        <v>26</v>
      </c>
      <c r="C38" t="s">
        <v>80</v>
      </c>
      <c r="D38" t="s">
        <v>137</v>
      </c>
      <c r="E38" t="s">
        <v>227</v>
      </c>
      <c r="F38" t="s">
        <v>228</v>
      </c>
      <c r="G38" t="s">
        <v>229</v>
      </c>
      <c r="H38">
        <v>12</v>
      </c>
      <c r="I38">
        <v>10</v>
      </c>
      <c r="J38">
        <v>0</v>
      </c>
      <c r="K38">
        <f t="shared" si="1"/>
        <v>22</v>
      </c>
    </row>
    <row r="39" spans="2:11" x14ac:dyDescent="0.25">
      <c r="B39" t="s">
        <v>301</v>
      </c>
      <c r="C39" t="s">
        <v>140</v>
      </c>
      <c r="D39" t="s">
        <v>302</v>
      </c>
      <c r="H39">
        <v>0</v>
      </c>
      <c r="I39">
        <v>21</v>
      </c>
      <c r="J39">
        <v>0</v>
      </c>
      <c r="K39">
        <f t="shared" si="1"/>
        <v>21</v>
      </c>
    </row>
    <row r="40" spans="2:11" x14ac:dyDescent="0.25">
      <c r="B40" t="s">
        <v>39</v>
      </c>
      <c r="C40" t="s">
        <v>94</v>
      </c>
      <c r="D40" t="s">
        <v>153</v>
      </c>
      <c r="E40" t="s">
        <v>271</v>
      </c>
      <c r="F40" t="s">
        <v>39</v>
      </c>
      <c r="G40" t="s">
        <v>272</v>
      </c>
      <c r="H40">
        <v>12</v>
      </c>
      <c r="I40">
        <v>7</v>
      </c>
      <c r="J40">
        <v>0</v>
      </c>
      <c r="K40">
        <f t="shared" si="1"/>
        <v>19</v>
      </c>
    </row>
    <row r="41" spans="2:11" x14ac:dyDescent="0.25">
      <c r="B41" t="s">
        <v>24</v>
      </c>
      <c r="C41" t="s">
        <v>73</v>
      </c>
      <c r="D41" t="s">
        <v>130</v>
      </c>
      <c r="E41" t="s">
        <v>203</v>
      </c>
      <c r="F41" t="s">
        <v>204</v>
      </c>
      <c r="G41" t="s">
        <v>205</v>
      </c>
      <c r="H41">
        <v>16</v>
      </c>
      <c r="I41">
        <v>0</v>
      </c>
      <c r="J41">
        <v>0</v>
      </c>
      <c r="K41">
        <f t="shared" si="1"/>
        <v>16</v>
      </c>
    </row>
    <row r="42" spans="2:11" x14ac:dyDescent="0.25">
      <c r="B42" t="s">
        <v>289</v>
      </c>
      <c r="C42" t="s">
        <v>290</v>
      </c>
      <c r="D42" t="s">
        <v>291</v>
      </c>
      <c r="H42">
        <v>12</v>
      </c>
      <c r="I42">
        <v>0</v>
      </c>
      <c r="J42">
        <v>0</v>
      </c>
      <c r="K42">
        <f t="shared" si="1"/>
        <v>12</v>
      </c>
    </row>
    <row r="43" spans="2:11" x14ac:dyDescent="0.25">
      <c r="B43" t="s">
        <v>26</v>
      </c>
      <c r="C43" t="s">
        <v>75</v>
      </c>
      <c r="D43" t="s">
        <v>132</v>
      </c>
      <c r="E43" t="s">
        <v>227</v>
      </c>
      <c r="F43" t="s">
        <v>228</v>
      </c>
      <c r="G43" t="s">
        <v>229</v>
      </c>
      <c r="H43">
        <v>6</v>
      </c>
      <c r="I43">
        <v>5</v>
      </c>
      <c r="J43">
        <v>0</v>
      </c>
      <c r="K43">
        <f t="shared" si="1"/>
        <v>11</v>
      </c>
    </row>
    <row r="44" spans="2:11" x14ac:dyDescent="0.25">
      <c r="B44" t="s">
        <v>40</v>
      </c>
      <c r="C44" t="s">
        <v>96</v>
      </c>
      <c r="D44" t="s">
        <v>155</v>
      </c>
      <c r="E44" t="s">
        <v>273</v>
      </c>
      <c r="F44" t="s">
        <v>274</v>
      </c>
      <c r="G44" t="s">
        <v>275</v>
      </c>
      <c r="H44">
        <v>10</v>
      </c>
      <c r="I44">
        <v>0</v>
      </c>
      <c r="J44">
        <v>0</v>
      </c>
      <c r="K44">
        <f t="shared" si="1"/>
        <v>10</v>
      </c>
    </row>
    <row r="45" spans="2:11" x14ac:dyDescent="0.25">
      <c r="B45" t="s">
        <v>297</v>
      </c>
      <c r="C45" t="s">
        <v>298</v>
      </c>
      <c r="D45" t="s">
        <v>299</v>
      </c>
      <c r="H45">
        <v>6</v>
      </c>
      <c r="I45">
        <v>0</v>
      </c>
      <c r="J45">
        <v>0</v>
      </c>
      <c r="K45">
        <f t="shared" si="1"/>
        <v>6</v>
      </c>
    </row>
    <row r="46" spans="2:11" x14ac:dyDescent="0.25">
      <c r="B46" t="s">
        <v>43</v>
      </c>
      <c r="C46" t="s">
        <v>101</v>
      </c>
      <c r="D46" t="s">
        <v>160</v>
      </c>
      <c r="E46" t="s">
        <v>282</v>
      </c>
      <c r="F46" t="s">
        <v>283</v>
      </c>
      <c r="G46" t="s">
        <v>284</v>
      </c>
      <c r="H46">
        <v>0</v>
      </c>
      <c r="I46">
        <v>5</v>
      </c>
      <c r="J46">
        <v>0</v>
      </c>
      <c r="K46">
        <f t="shared" si="1"/>
        <v>5</v>
      </c>
    </row>
    <row r="47" spans="2:11" x14ac:dyDescent="0.25">
      <c r="B47" t="s">
        <v>26</v>
      </c>
      <c r="C47" t="s">
        <v>76</v>
      </c>
      <c r="D47" t="s">
        <v>133</v>
      </c>
      <c r="E47" t="s">
        <v>227</v>
      </c>
      <c r="F47" t="s">
        <v>228</v>
      </c>
      <c r="G47" t="s">
        <v>229</v>
      </c>
      <c r="H47">
        <v>0</v>
      </c>
      <c r="I47">
        <v>5</v>
      </c>
      <c r="J47">
        <v>0</v>
      </c>
      <c r="K47">
        <f t="shared" si="1"/>
        <v>5</v>
      </c>
    </row>
    <row r="48" spans="2:11" x14ac:dyDescent="0.25">
      <c r="B48" t="s">
        <v>44</v>
      </c>
      <c r="C48" t="s">
        <v>102</v>
      </c>
      <c r="D48" t="s">
        <v>161</v>
      </c>
      <c r="E48" t="s">
        <v>282</v>
      </c>
      <c r="F48" t="s">
        <v>283</v>
      </c>
      <c r="G48" t="s">
        <v>284</v>
      </c>
      <c r="H48">
        <v>0</v>
      </c>
      <c r="I48">
        <v>5</v>
      </c>
      <c r="J48">
        <v>0</v>
      </c>
      <c r="K48">
        <f t="shared" si="1"/>
        <v>5</v>
      </c>
    </row>
    <row r="49" spans="2:11" x14ac:dyDescent="0.25">
      <c r="B49" t="s">
        <v>294</v>
      </c>
      <c r="C49" t="s">
        <v>56</v>
      </c>
      <c r="D49" t="s">
        <v>113</v>
      </c>
      <c r="E49" t="s">
        <v>178</v>
      </c>
      <c r="F49" t="s">
        <v>179</v>
      </c>
      <c r="G49" t="s">
        <v>180</v>
      </c>
      <c r="H49">
        <v>0</v>
      </c>
      <c r="I49">
        <v>5</v>
      </c>
      <c r="J49">
        <v>0</v>
      </c>
      <c r="K49">
        <f t="shared" si="1"/>
        <v>5</v>
      </c>
    </row>
    <row r="50" spans="2:11" x14ac:dyDescent="0.25">
      <c r="B50" t="s">
        <v>35</v>
      </c>
      <c r="C50" t="s">
        <v>89</v>
      </c>
      <c r="D50" t="s">
        <v>148</v>
      </c>
      <c r="E50" t="s">
        <v>257</v>
      </c>
      <c r="F50" t="s">
        <v>258</v>
      </c>
      <c r="G50" t="s">
        <v>259</v>
      </c>
      <c r="H50">
        <v>0</v>
      </c>
      <c r="I50">
        <v>0</v>
      </c>
      <c r="J50">
        <v>0</v>
      </c>
      <c r="K50">
        <f t="shared" si="1"/>
        <v>0</v>
      </c>
    </row>
    <row r="51" spans="2:11" x14ac:dyDescent="0.25">
      <c r="B51" t="s">
        <v>8</v>
      </c>
      <c r="C51" t="s">
        <v>54</v>
      </c>
      <c r="D51" t="s">
        <v>111</v>
      </c>
      <c r="E51" t="s">
        <v>184</v>
      </c>
      <c r="F51" t="s">
        <v>185</v>
      </c>
      <c r="G51" t="s">
        <v>186</v>
      </c>
      <c r="H51">
        <v>0</v>
      </c>
      <c r="I51">
        <v>0</v>
      </c>
      <c r="J51">
        <v>0</v>
      </c>
      <c r="K51">
        <f t="shared" si="1"/>
        <v>0</v>
      </c>
    </row>
    <row r="52" spans="2:11" x14ac:dyDescent="0.25">
      <c r="B52" t="s">
        <v>16</v>
      </c>
      <c r="C52" t="s">
        <v>64</v>
      </c>
      <c r="D52" t="s">
        <v>121</v>
      </c>
      <c r="E52" t="s">
        <v>203</v>
      </c>
      <c r="F52" t="s">
        <v>204</v>
      </c>
      <c r="G52" t="s">
        <v>205</v>
      </c>
      <c r="H52">
        <v>0</v>
      </c>
      <c r="I52">
        <v>0</v>
      </c>
      <c r="J52">
        <v>0</v>
      </c>
      <c r="K52">
        <f t="shared" si="1"/>
        <v>0</v>
      </c>
    </row>
    <row r="53" spans="2:11" x14ac:dyDescent="0.25">
      <c r="B53" t="s">
        <v>8</v>
      </c>
      <c r="C53" t="s">
        <v>55</v>
      </c>
      <c r="D53" t="s">
        <v>112</v>
      </c>
      <c r="E53" t="s">
        <v>184</v>
      </c>
      <c r="F53" t="s">
        <v>185</v>
      </c>
      <c r="G53" t="s">
        <v>186</v>
      </c>
      <c r="H53">
        <v>0</v>
      </c>
      <c r="I53">
        <v>0</v>
      </c>
      <c r="J53">
        <v>0</v>
      </c>
      <c r="K53">
        <f t="shared" si="1"/>
        <v>0</v>
      </c>
    </row>
    <row r="54" spans="2:11" x14ac:dyDescent="0.25">
      <c r="B54" t="s">
        <v>26</v>
      </c>
      <c r="C54" t="s">
        <v>81</v>
      </c>
      <c r="D54" t="s">
        <v>138</v>
      </c>
      <c r="E54" t="s">
        <v>227</v>
      </c>
      <c r="F54" t="s">
        <v>228</v>
      </c>
      <c r="G54" t="s">
        <v>229</v>
      </c>
      <c r="H54">
        <v>0</v>
      </c>
      <c r="I54">
        <v>0</v>
      </c>
      <c r="J54">
        <v>0</v>
      </c>
      <c r="K54">
        <f t="shared" si="1"/>
        <v>0</v>
      </c>
    </row>
    <row r="55" spans="2:11" x14ac:dyDescent="0.25">
      <c r="B55" t="s">
        <v>17</v>
      </c>
      <c r="C55" t="s">
        <v>66</v>
      </c>
      <c r="D55" t="s">
        <v>123</v>
      </c>
      <c r="E55" t="s">
        <v>206</v>
      </c>
      <c r="F55" t="s">
        <v>207</v>
      </c>
      <c r="G55" t="s">
        <v>208</v>
      </c>
      <c r="H55">
        <v>0</v>
      </c>
      <c r="I55">
        <v>0</v>
      </c>
      <c r="J55">
        <v>0</v>
      </c>
      <c r="K55">
        <f t="shared" si="1"/>
        <v>0</v>
      </c>
    </row>
    <row r="56" spans="2:11" x14ac:dyDescent="0.25">
      <c r="B56" t="s">
        <v>41</v>
      </c>
      <c r="C56" t="s">
        <v>97</v>
      </c>
      <c r="D56" t="s">
        <v>156</v>
      </c>
      <c r="E56" t="s">
        <v>276</v>
      </c>
      <c r="F56" t="s">
        <v>277</v>
      </c>
      <c r="G56" t="s">
        <v>278</v>
      </c>
      <c r="H56">
        <v>0</v>
      </c>
      <c r="I56">
        <v>0</v>
      </c>
      <c r="J56">
        <v>0</v>
      </c>
      <c r="K56">
        <f t="shared" si="1"/>
        <v>0</v>
      </c>
    </row>
    <row r="57" spans="2:11" x14ac:dyDescent="0.25">
      <c r="B57" t="s">
        <v>25</v>
      </c>
      <c r="C57" t="s">
        <v>74</v>
      </c>
      <c r="D57" t="s">
        <v>131</v>
      </c>
      <c r="E57" t="s">
        <v>224</v>
      </c>
      <c r="F57" t="s">
        <v>225</v>
      </c>
      <c r="G57" t="s">
        <v>226</v>
      </c>
      <c r="H57">
        <v>0</v>
      </c>
      <c r="I57">
        <v>0</v>
      </c>
      <c r="J57">
        <v>0</v>
      </c>
      <c r="K57">
        <f t="shared" si="1"/>
        <v>0</v>
      </c>
    </row>
    <row r="58" spans="2:11" x14ac:dyDescent="0.25">
      <c r="B58" t="s">
        <v>16</v>
      </c>
      <c r="C58" t="s">
        <v>65</v>
      </c>
      <c r="D58" t="s">
        <v>122</v>
      </c>
      <c r="E58" t="s">
        <v>203</v>
      </c>
      <c r="F58" t="s">
        <v>204</v>
      </c>
      <c r="G58" t="s">
        <v>205</v>
      </c>
      <c r="H58">
        <v>0</v>
      </c>
      <c r="I58">
        <v>0</v>
      </c>
      <c r="J58">
        <v>0</v>
      </c>
      <c r="K58">
        <f t="shared" si="1"/>
        <v>0</v>
      </c>
    </row>
    <row r="59" spans="2:11" x14ac:dyDescent="0.25">
      <c r="B59" t="s">
        <v>294</v>
      </c>
      <c r="C59" t="s">
        <v>52</v>
      </c>
      <c r="D59" t="s">
        <v>109</v>
      </c>
      <c r="E59" t="s">
        <v>178</v>
      </c>
      <c r="F59" t="s">
        <v>179</v>
      </c>
      <c r="G59" t="s">
        <v>180</v>
      </c>
      <c r="H59">
        <v>0</v>
      </c>
      <c r="I59">
        <v>0</v>
      </c>
      <c r="J59">
        <v>0</v>
      </c>
      <c r="K59">
        <f t="shared" si="1"/>
        <v>0</v>
      </c>
    </row>
    <row r="60" spans="2:11" x14ac:dyDescent="0.25">
      <c r="B60" t="s">
        <v>36</v>
      </c>
      <c r="C60" t="s">
        <v>90</v>
      </c>
      <c r="D60" t="s">
        <v>149</v>
      </c>
      <c r="E60" t="s">
        <v>260</v>
      </c>
      <c r="F60" t="s">
        <v>261</v>
      </c>
      <c r="G60" t="s">
        <v>262</v>
      </c>
      <c r="H60">
        <v>0</v>
      </c>
      <c r="I60">
        <v>0</v>
      </c>
      <c r="J60">
        <v>0</v>
      </c>
      <c r="K60">
        <f t="shared" si="1"/>
        <v>0</v>
      </c>
    </row>
    <row r="61" spans="2:11" s="2" customFormat="1" x14ac:dyDescent="0.25">
      <c r="B61" t="s">
        <v>7</v>
      </c>
      <c r="C61" t="s">
        <v>53</v>
      </c>
      <c r="D61" t="s">
        <v>110</v>
      </c>
      <c r="E61" t="s">
        <v>181</v>
      </c>
      <c r="F61" t="s">
        <v>182</v>
      </c>
      <c r="G61" t="s">
        <v>183</v>
      </c>
      <c r="H61">
        <v>0</v>
      </c>
      <c r="I61">
        <v>0</v>
      </c>
      <c r="J61">
        <v>0</v>
      </c>
      <c r="K61">
        <f t="shared" si="1"/>
        <v>0</v>
      </c>
    </row>
    <row r="62" spans="2:11" x14ac:dyDescent="0.25">
      <c r="B62" t="s">
        <v>34</v>
      </c>
      <c r="C62" t="s">
        <v>88</v>
      </c>
      <c r="D62" t="s">
        <v>147</v>
      </c>
      <c r="E62" t="s">
        <v>254</v>
      </c>
      <c r="F62" t="s">
        <v>255</v>
      </c>
      <c r="G62" t="s">
        <v>256</v>
      </c>
      <c r="H62">
        <v>0</v>
      </c>
      <c r="I62">
        <v>0</v>
      </c>
      <c r="J62">
        <v>0</v>
      </c>
      <c r="K62">
        <f t="shared" si="1"/>
        <v>0</v>
      </c>
    </row>
    <row r="63" spans="2:11" x14ac:dyDescent="0.25">
      <c r="B63" t="s">
        <v>12</v>
      </c>
      <c r="C63" t="s">
        <v>60</v>
      </c>
      <c r="D63" t="s">
        <v>117</v>
      </c>
      <c r="E63" t="s">
        <v>194</v>
      </c>
      <c r="F63" t="s">
        <v>195</v>
      </c>
      <c r="G63" t="s">
        <v>196</v>
      </c>
      <c r="H63">
        <v>0</v>
      </c>
      <c r="I63">
        <v>0</v>
      </c>
      <c r="J63">
        <v>0</v>
      </c>
      <c r="K63">
        <f t="shared" si="1"/>
        <v>0</v>
      </c>
    </row>
    <row r="64" spans="2:11" x14ac:dyDescent="0.25">
      <c r="B64" t="s">
        <v>43</v>
      </c>
      <c r="C64" t="s">
        <v>100</v>
      </c>
      <c r="D64" t="s">
        <v>159</v>
      </c>
      <c r="E64" t="s">
        <v>282</v>
      </c>
      <c r="F64" t="s">
        <v>283</v>
      </c>
      <c r="G64" t="s">
        <v>284</v>
      </c>
      <c r="H64">
        <v>0</v>
      </c>
      <c r="I64">
        <v>0</v>
      </c>
      <c r="J64">
        <v>0</v>
      </c>
      <c r="K64">
        <f t="shared" si="1"/>
        <v>0</v>
      </c>
    </row>
  </sheetData>
  <autoFilter ref="B1:K64">
    <sortState ref="B2:K64">
      <sortCondition descending="1" ref="K1:K64"/>
    </sortState>
  </autoFilter>
  <sortState ref="J1:J2">
    <sortCondition ref="J3"/>
  </sortState>
  <pageMargins left="0.7" right="0.7" top="0.75" bottom="0.75" header="0.3" footer="0.3"/>
  <pageSetup paperSize="9" scale="62" fitToHeight="0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selection activeCell="C13" sqref="C13"/>
    </sheetView>
  </sheetViews>
  <sheetFormatPr defaultRowHeight="15" x14ac:dyDescent="0.25"/>
  <cols>
    <col min="1" max="1" width="34.85546875" customWidth="1"/>
    <col min="2" max="2" width="30.5703125" customWidth="1"/>
    <col min="3" max="3" width="34" customWidth="1"/>
  </cols>
  <sheetData>
    <row r="1" spans="1:3" ht="48" thickBot="1" x14ac:dyDescent="0.3">
      <c r="A1" s="6" t="s">
        <v>318</v>
      </c>
      <c r="B1" s="6" t="s">
        <v>317</v>
      </c>
      <c r="C1" s="20" t="s">
        <v>162</v>
      </c>
    </row>
    <row r="2" spans="1:3" ht="15.75" thickBot="1" x14ac:dyDescent="0.3">
      <c r="A2" s="14" t="s">
        <v>307</v>
      </c>
      <c r="B2" s="15" t="s">
        <v>11</v>
      </c>
      <c r="C2" s="24" t="s">
        <v>191</v>
      </c>
    </row>
    <row r="3" spans="1:3" ht="15.75" thickBot="1" x14ac:dyDescent="0.3">
      <c r="A3" s="16" t="s">
        <v>308</v>
      </c>
      <c r="B3" s="17" t="s">
        <v>11</v>
      </c>
      <c r="C3" s="26" t="s">
        <v>191</v>
      </c>
    </row>
    <row r="4" spans="1:3" ht="15.75" thickBot="1" x14ac:dyDescent="0.3">
      <c r="A4" s="18" t="s">
        <v>309</v>
      </c>
      <c r="B4" s="17" t="s">
        <v>14</v>
      </c>
      <c r="C4" s="26" t="s">
        <v>191</v>
      </c>
    </row>
    <row r="5" spans="1:3" ht="15.75" thickBot="1" x14ac:dyDescent="0.3">
      <c r="A5" s="18" t="s">
        <v>310</v>
      </c>
      <c r="B5" s="17" t="s">
        <v>14</v>
      </c>
      <c r="C5" s="26" t="s">
        <v>191</v>
      </c>
    </row>
    <row r="6" spans="1:3" ht="30.75" thickBot="1" x14ac:dyDescent="0.3">
      <c r="A6" s="16" t="s">
        <v>311</v>
      </c>
      <c r="B6" s="17" t="s">
        <v>5</v>
      </c>
      <c r="C6" s="26" t="s">
        <v>175</v>
      </c>
    </row>
    <row r="7" spans="1:3" ht="30.75" thickBot="1" x14ac:dyDescent="0.3">
      <c r="A7" s="16" t="s">
        <v>312</v>
      </c>
      <c r="B7" s="17" t="s">
        <v>5</v>
      </c>
      <c r="C7" s="26" t="s">
        <v>175</v>
      </c>
    </row>
    <row r="8" spans="1:3" ht="30.75" thickBot="1" x14ac:dyDescent="0.3">
      <c r="A8" s="16" t="s">
        <v>84</v>
      </c>
      <c r="B8" s="17" t="s">
        <v>28</v>
      </c>
      <c r="C8" s="26" t="s">
        <v>242</v>
      </c>
    </row>
    <row r="9" spans="1:3" ht="30.75" thickBot="1" x14ac:dyDescent="0.3">
      <c r="A9" s="16" t="s">
        <v>141</v>
      </c>
      <c r="B9" s="17" t="s">
        <v>28</v>
      </c>
      <c r="C9" s="26" t="s">
        <v>242</v>
      </c>
    </row>
    <row r="10" spans="1:3" ht="30.75" thickBot="1" x14ac:dyDescent="0.3">
      <c r="A10" s="16" t="s">
        <v>86</v>
      </c>
      <c r="B10" s="17" t="s">
        <v>33</v>
      </c>
      <c r="C10" s="26" t="s">
        <v>248</v>
      </c>
    </row>
    <row r="11" spans="1:3" ht="30.75" thickBot="1" x14ac:dyDescent="0.3">
      <c r="A11" s="16" t="s">
        <v>144</v>
      </c>
      <c r="B11" s="17" t="s">
        <v>33</v>
      </c>
      <c r="C11" s="26" t="s">
        <v>248</v>
      </c>
    </row>
    <row r="12" spans="1:3" ht="30.75" thickBot="1" x14ac:dyDescent="0.3">
      <c r="A12" s="16" t="s">
        <v>313</v>
      </c>
      <c r="B12" s="22" t="s">
        <v>19</v>
      </c>
      <c r="C12" s="26" t="s">
        <v>191</v>
      </c>
    </row>
    <row r="13" spans="1:3" ht="30.75" thickBot="1" x14ac:dyDescent="0.3">
      <c r="A13" s="21" t="s">
        <v>314</v>
      </c>
      <c r="B13" s="23" t="s">
        <v>19</v>
      </c>
      <c r="C13" s="26" t="s">
        <v>191</v>
      </c>
    </row>
    <row r="14" spans="1:3" ht="30.75" thickBot="1" x14ac:dyDescent="0.3">
      <c r="A14" s="16" t="s">
        <v>135</v>
      </c>
      <c r="B14" s="17" t="s">
        <v>28</v>
      </c>
      <c r="C14" s="26" t="s">
        <v>233</v>
      </c>
    </row>
    <row r="15" spans="1:3" ht="30.75" thickBot="1" x14ac:dyDescent="0.3">
      <c r="A15" s="16" t="s">
        <v>78</v>
      </c>
      <c r="B15" s="17" t="s">
        <v>28</v>
      </c>
      <c r="C15" s="26" t="s">
        <v>233</v>
      </c>
    </row>
    <row r="16" spans="1:3" ht="60.75" thickBot="1" x14ac:dyDescent="0.3">
      <c r="A16" s="18" t="s">
        <v>98</v>
      </c>
      <c r="B16" s="19" t="s">
        <v>315</v>
      </c>
      <c r="C16" s="26" t="s">
        <v>279</v>
      </c>
    </row>
    <row r="17" spans="1:3" ht="60.75" thickBot="1" x14ac:dyDescent="0.3">
      <c r="A17" s="18" t="s">
        <v>157</v>
      </c>
      <c r="B17" s="19" t="s">
        <v>315</v>
      </c>
      <c r="C17" s="26" t="s">
        <v>279</v>
      </c>
    </row>
    <row r="18" spans="1:3" ht="30.75" thickBot="1" x14ac:dyDescent="0.3">
      <c r="A18" s="16" t="s">
        <v>46</v>
      </c>
      <c r="B18" s="17" t="s">
        <v>1</v>
      </c>
      <c r="C18" s="26" t="s">
        <v>165</v>
      </c>
    </row>
    <row r="19" spans="1:3" ht="30.75" thickBot="1" x14ac:dyDescent="0.3">
      <c r="A19" s="16" t="s">
        <v>316</v>
      </c>
      <c r="B19" s="17" t="s">
        <v>1</v>
      </c>
      <c r="C19" s="26" t="s">
        <v>165</v>
      </c>
    </row>
    <row r="20" spans="1:3" ht="30.75" thickBot="1" x14ac:dyDescent="0.3">
      <c r="A20" s="16" t="s">
        <v>145</v>
      </c>
      <c r="B20" s="17" t="s">
        <v>33</v>
      </c>
      <c r="C20" s="26" t="s">
        <v>248</v>
      </c>
    </row>
    <row r="21" spans="1:3" ht="30.75" thickBot="1" x14ac:dyDescent="0.3">
      <c r="A21" s="16" t="s">
        <v>87</v>
      </c>
      <c r="B21" s="17" t="s">
        <v>33</v>
      </c>
      <c r="C21" s="26" t="s">
        <v>248</v>
      </c>
    </row>
    <row r="22" spans="1:3" ht="15.75" thickBot="1" x14ac:dyDescent="0.3">
      <c r="A22" s="16" t="s">
        <v>82</v>
      </c>
      <c r="B22" s="17" t="s">
        <v>29</v>
      </c>
      <c r="C22" s="25" t="s">
        <v>236</v>
      </c>
    </row>
    <row r="23" spans="1:3" ht="15.75" thickBot="1" x14ac:dyDescent="0.3">
      <c r="A23" s="16" t="s">
        <v>139</v>
      </c>
      <c r="B23" s="17" t="s">
        <v>29</v>
      </c>
      <c r="C23" s="25" t="s">
        <v>236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сертификаты</vt:lpstr>
      <vt:lpstr>для публикации</vt:lpstr>
      <vt:lpstr>Лист2</vt:lpstr>
      <vt:lpstr>протокол</vt:lpstr>
      <vt:lpstr>Дипломы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Swetlana</dc:creator>
  <cp:lastModifiedBy>Pegagog</cp:lastModifiedBy>
  <cp:lastPrinted>2026-03-05T05:45:15Z</cp:lastPrinted>
  <dcterms:created xsi:type="dcterms:W3CDTF">2026-02-24T06:30:43Z</dcterms:created>
  <dcterms:modified xsi:type="dcterms:W3CDTF">2026-03-10T10:57:06Z</dcterms:modified>
</cp:coreProperties>
</file>